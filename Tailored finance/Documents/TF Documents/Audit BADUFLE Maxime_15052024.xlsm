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https://nlbordeaux-my.sharepoint.com/personal/etrocin_tailored-finance_fr/Documents/Bureau/clients 20112023/"/>
    </mc:Choice>
  </mc:AlternateContent>
  <xr:revisionPtr revIDLastSave="0" documentId="8_{0F45661A-C385-4615-BB4E-224F4257FB2A}" xr6:coauthVersionLast="47" xr6:coauthVersionMax="47" xr10:uidLastSave="{00000000-0000-0000-0000-000000000000}"/>
  <bookViews>
    <workbookView showSheetTabs="0" xWindow="-108" yWindow="-108" windowWidth="23256" windowHeight="12576" xr2:uid="{FAAFB06E-3BF8-B646-A272-2D499B3C2193}"/>
  </bookViews>
  <sheets>
    <sheet name="Fiche Client" sheetId="1" r:id="rId1"/>
    <sheet name="P Immobilier" sheetId="2" r:id="rId2"/>
    <sheet name="P Financier" sheetId="3" r:id="rId3"/>
  </sheets>
  <externalReferences>
    <externalReference r:id="rId4"/>
  </externalReferences>
  <definedNames>
    <definedName name="Age_1">'Fiche Client'!$D$9</definedName>
    <definedName name="Age_2">'Fiche Client'!$D$19</definedName>
    <definedName name="BFD_Mois">'Fiche Client'!$K$13</definedName>
    <definedName name="BFS_Mois">'Fiche Client'!$M$13</definedName>
    <definedName name="Charges_An">'Fiche Client'!$M$14</definedName>
    <definedName name="Charges_Mois">'Fiche Client'!$M$12</definedName>
    <definedName name="Dept">'P Immobilier'!$C$6</definedName>
    <definedName name="Detail">'Fiche Client'!$N$4</definedName>
    <definedName name="EMD">'Fiche Client'!$M$9</definedName>
    <definedName name="Enfants">'Fiche Client'!$H$11</definedName>
    <definedName name="Impot">'Fiche Client'!$K$7</definedName>
    <definedName name="Mail">'Fiche Client'!$D$4</definedName>
    <definedName name="Nom_1">'Fiche Client'!$D$7</definedName>
    <definedName name="Nom_2">'Fiche Client'!$D$17</definedName>
    <definedName name="Part_Prop">'P Immobilier'!$N$6</definedName>
    <definedName name="Parts">'Fiche Client'!$D$14</definedName>
    <definedName name="Pension_1">'Fiche Client'!$G$9</definedName>
    <definedName name="Pension_2">'Fiche Client'!$G$19</definedName>
    <definedName name="PFD">'Fiche Client'!$M$18</definedName>
    <definedName name="PFT">'Fiche Client'!$K$18</definedName>
    <definedName name="PIB">'Fiche Client'!$K$17</definedName>
    <definedName name="PID_B">'P Immobilier'!$C$25</definedName>
    <definedName name="PID_M">'P Immobilier'!$H$25</definedName>
    <definedName name="PID_N">'P Immobilier'!$E$25</definedName>
    <definedName name="PID_R">'P Immobilier'!$G$25</definedName>
    <definedName name="PIN">'Fiche Client'!$M$17</definedName>
    <definedName name="PIS_B">'P Immobilier'!$J$25</definedName>
    <definedName name="PIS_M">'P Immobilier'!$O$25</definedName>
    <definedName name="PIS_N">'P Immobilier'!$L$25</definedName>
    <definedName name="PIS_R">'P Immobilier'!$N$25</definedName>
    <definedName name="Prenom_1">'Fiche Client'!$D$8</definedName>
    <definedName name="Prenom_2">'Fiche Client'!$D$18</definedName>
    <definedName name="Profession_1">'Fiche Client'!$H$7</definedName>
    <definedName name="Profession_2">'Fiche Client'!$H$17</definedName>
    <definedName name="PTB">'Fiche Client'!$K$19</definedName>
    <definedName name="PTN">'Fiche Client'!$M$19</definedName>
    <definedName name="Regime">'Fiche Client'!$D$13</definedName>
    <definedName name="Revenus_An">'Fiche Client'!$K$14</definedName>
    <definedName name="RP_Emprunt">'P Immobilier'!$G$6</definedName>
    <definedName name="RP_ML">'P Immobilier'!$L$6</definedName>
    <definedName name="RP_Reste">'P Immobilier'!$H$6</definedName>
    <definedName name="RP_Valeur">'P Immobilier'!$E$6</definedName>
    <definedName name="Salaire_1">'Fiche Client'!$H$8</definedName>
    <definedName name="Salaire_2">'Fiche Client'!$H$18</definedName>
    <definedName name="Salaires_Mois">'Fiche Client'!$K$12</definedName>
    <definedName name="Situation">'Fiche Client'!$D$12</definedName>
    <definedName name="Source">'Fiche Client'!$N$3</definedName>
    <definedName name="SPF_DC_1">'P Financier'!$E$23</definedName>
    <definedName name="SPF_DC_2">'P Financier'!$F$23</definedName>
    <definedName name="SPF_DG">'P Financier'!$H$23</definedName>
    <definedName name="SPF_EMD">'P Financier'!$I$23</definedName>
    <definedName name="SPF_TC_1">'P Financier'!$C$23</definedName>
    <definedName name="SPF_TC_2">'P Financier'!$D$23</definedName>
    <definedName name="SPF_TG">'P Financier'!$G$23</definedName>
    <definedName name="SPI_B">'P Immobilier'!$C$29</definedName>
    <definedName name="SPI_M">'P Immobilier'!$I$29</definedName>
    <definedName name="SPI_N">'P Immobilier'!$E$29</definedName>
    <definedName name="SPI_R">'P Immobilier'!$G$29</definedName>
    <definedName name="SPI_Tx_E">'P Immobilier'!$K$29</definedName>
    <definedName name="SPI_Tx_EP">'P Immobilier'!$M$29</definedName>
    <definedName name="Statut">'P Immobilier'!$D$6</definedName>
    <definedName name="Tel">'Fiche Client'!$D$3</definedName>
    <definedName name="TM">'Fiche Client'!$K$9</definedName>
    <definedName name="TMI">'Fiche Client'!$K$8</definedName>
    <definedName name="Tx_E">'Fiche Client'!$M$7</definedName>
    <definedName name="Tx_EP">'Fiche Client'!$M$8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27" i="1" l="1"/>
  <c r="L28" i="1" s="1"/>
</calcChain>
</file>

<file path=xl/sharedStrings.xml><?xml version="1.0" encoding="utf-8"?>
<sst xmlns="http://schemas.openxmlformats.org/spreadsheetml/2006/main" count="226" uniqueCount="146">
  <si>
    <t>Téléphone :</t>
  </si>
  <si>
    <t>E-mail :</t>
  </si>
  <si>
    <t>Client 1</t>
  </si>
  <si>
    <t>NOM :</t>
  </si>
  <si>
    <t>Prénom :</t>
  </si>
  <si>
    <t>Age :</t>
  </si>
  <si>
    <t>Situation Maritale</t>
  </si>
  <si>
    <t>Situation :</t>
  </si>
  <si>
    <t>Régime :</t>
  </si>
  <si>
    <t>Nb Parts :</t>
  </si>
  <si>
    <t>Client 2</t>
  </si>
  <si>
    <t>Commentaire :</t>
  </si>
  <si>
    <t>Profession :</t>
  </si>
  <si>
    <t>Salaire :</t>
  </si>
  <si>
    <t>Pension :</t>
  </si>
  <si>
    <t>Enfants</t>
  </si>
  <si>
    <t>Nbre</t>
  </si>
  <si>
    <t>Synthèse</t>
  </si>
  <si>
    <t>Impôt :</t>
  </si>
  <si>
    <t>TMI :</t>
  </si>
  <si>
    <t>Taux Moyen :</t>
  </si>
  <si>
    <t>Salaires/Mois :</t>
  </si>
  <si>
    <t>BF Direct/Mois :</t>
  </si>
  <si>
    <t>Revenus/An :</t>
  </si>
  <si>
    <t>Patrimoine :</t>
  </si>
  <si>
    <t>P Immo Brut :</t>
  </si>
  <si>
    <t>P Fin Total :</t>
  </si>
  <si>
    <t>P Total Brut :</t>
  </si>
  <si>
    <t>Tx. E :</t>
  </si>
  <si>
    <t>Tx. E Prev :</t>
  </si>
  <si>
    <t>EMD :</t>
  </si>
  <si>
    <t>Charges/Mois :</t>
  </si>
  <si>
    <t>BF SCI/Mois :</t>
  </si>
  <si>
    <t>Charges/An :</t>
  </si>
  <si>
    <t>P Immo Net :</t>
  </si>
  <si>
    <t>P Fin Dispo :</t>
  </si>
  <si>
    <t>P Total Net :</t>
  </si>
  <si>
    <t>Source :</t>
  </si>
  <si>
    <t>Détail :</t>
  </si>
  <si>
    <t>PATRIMOINE IMMOBILIER</t>
  </si>
  <si>
    <t>Résidence Principale</t>
  </si>
  <si>
    <t>Dept.</t>
  </si>
  <si>
    <t>Statut</t>
  </si>
  <si>
    <t>Valeur</t>
  </si>
  <si>
    <t>Emprunt</t>
  </si>
  <si>
    <t>Reste</t>
  </si>
  <si>
    <t>Date</t>
  </si>
  <si>
    <t>Durée</t>
  </si>
  <si>
    <t>Date Fin</t>
  </si>
  <si>
    <t>Mensualité/Loyer</t>
  </si>
  <si>
    <t>% de Propriété</t>
  </si>
  <si>
    <t>Autres Biens</t>
  </si>
  <si>
    <t>Véhicule</t>
  </si>
  <si>
    <t>Localisation</t>
  </si>
  <si>
    <t>Type</t>
  </si>
  <si>
    <t>Mensualité</t>
  </si>
  <si>
    <t>Loyer</t>
  </si>
  <si>
    <t>Rapp. Loc</t>
  </si>
  <si>
    <t>% Prop</t>
  </si>
  <si>
    <t>Crédits</t>
  </si>
  <si>
    <t>Objet</t>
  </si>
  <si>
    <t>Montant</t>
  </si>
  <si>
    <t>Patrimoine Immobilier Direct</t>
  </si>
  <si>
    <t>Valeur Brute</t>
  </si>
  <si>
    <t>Valeur Nette</t>
  </si>
  <si>
    <t>Revenus/Mois</t>
  </si>
  <si>
    <t>Mensualités</t>
  </si>
  <si>
    <t>Projets à 8 ans</t>
  </si>
  <si>
    <t>Loyers</t>
  </si>
  <si>
    <t>Patrimoine Immobilier SCI</t>
  </si>
  <si>
    <t>Synhtèse Patrimoine immobilier</t>
  </si>
  <si>
    <t>Revenus Mensuels</t>
  </si>
  <si>
    <t>Tx Endettement Actuel</t>
  </si>
  <si>
    <t>Tx Endettement Prévu</t>
  </si>
  <si>
    <t>Propriétaire</t>
  </si>
  <si>
    <t>Locataire</t>
  </si>
  <si>
    <t>Logé Gratuit</t>
  </si>
  <si>
    <t>Propre</t>
  </si>
  <si>
    <t>SCI</t>
  </si>
  <si>
    <t>PATRIMOINE FINANCIER</t>
  </si>
  <si>
    <t>Liquidités</t>
  </si>
  <si>
    <t>Nom</t>
  </si>
  <si>
    <t>Perf Annuelle</t>
  </si>
  <si>
    <t>Disponible</t>
  </si>
  <si>
    <t>Établissement</t>
  </si>
  <si>
    <t>Commentaire</t>
  </si>
  <si>
    <t>Titulaire</t>
  </si>
  <si>
    <t>Synthèse Patrimoine Financier</t>
  </si>
  <si>
    <t>Total Client 1</t>
  </si>
  <si>
    <t>Total Client 2</t>
  </si>
  <si>
    <t>Dispo Client 1</t>
  </si>
  <si>
    <t>Dispo Client 2</t>
  </si>
  <si>
    <t>Total Global</t>
  </si>
  <si>
    <t>Dispo Global</t>
  </si>
  <si>
    <t>EMD</t>
  </si>
  <si>
    <t>maxime.badufle@outlook.fr</t>
  </si>
  <si>
    <t>BADUFLE</t>
  </si>
  <si>
    <t>Maxime</t>
  </si>
  <si>
    <t>ingénieur commercial export weiss teknik</t>
  </si>
  <si>
    <t>Ingénieur</t>
  </si>
  <si>
    <t>Concubinage</t>
  </si>
  <si>
    <t>F</t>
  </si>
  <si>
    <t>AHU</t>
  </si>
  <si>
    <t>BADUFLE Maxime</t>
  </si>
  <si>
    <t>Etudiant</t>
  </si>
  <si>
    <t>Livret A</t>
  </si>
  <si>
    <t>LDD</t>
  </si>
  <si>
    <t>A vie</t>
  </si>
  <si>
    <t>PEA</t>
  </si>
  <si>
    <t>PERCO</t>
  </si>
  <si>
    <t>Commentaires</t>
  </si>
  <si>
    <t>-</t>
  </si>
  <si>
    <t>D0</t>
  </si>
  <si>
    <t>Semaine</t>
  </si>
  <si>
    <t>Mois</t>
  </si>
  <si>
    <t>OK</t>
  </si>
  <si>
    <t>Novembre</t>
  </si>
  <si>
    <t>D1</t>
  </si>
  <si>
    <t>D1 SC</t>
  </si>
  <si>
    <t>Décembre</t>
  </si>
  <si>
    <t>Solution</t>
  </si>
  <si>
    <t>Mensuel</t>
  </si>
  <si>
    <t>Initial</t>
  </si>
  <si>
    <t>Frais</t>
  </si>
  <si>
    <t>VA</t>
  </si>
  <si>
    <t>DS</t>
  </si>
  <si>
    <t>PP PRIMOVIE</t>
  </si>
  <si>
    <t>PP PRIMOPIERRE</t>
  </si>
  <si>
    <t>NP PRIMOVIE</t>
  </si>
  <si>
    <t>NP PRIMOPIERRE</t>
  </si>
  <si>
    <t>AV SL CONVICTIONS</t>
  </si>
  <si>
    <t>AV SL GLOBAL</t>
  </si>
  <si>
    <t>AV SL PRUDENT</t>
  </si>
  <si>
    <t>AV SL PRUDENT +</t>
  </si>
  <si>
    <t>PER SL CONVICTIONS</t>
  </si>
  <si>
    <t>PER SL GLOBAL</t>
  </si>
  <si>
    <t>PER SL PRUDENT +</t>
  </si>
  <si>
    <t>PER SL PRUDENT</t>
  </si>
  <si>
    <t>AV ABEILLE ACCESSIT</t>
  </si>
  <si>
    <t>EHPAD MEDICHARME</t>
  </si>
  <si>
    <t>EHPAD DOMIDEP</t>
  </si>
  <si>
    <t>Asset</t>
  </si>
  <si>
    <t>Immo</t>
  </si>
  <si>
    <t>D+</t>
  </si>
  <si>
    <t>Juin</t>
  </si>
  <si>
    <t xml:space="preserve">bien parlé de son investissemenent, tjrs aussi sympa. A pour projet de faire du locatif avant d'acheter sa RP et la situation va changer avec sa compagne elle va trouver un taff donc ils veulent investir ensemble, intéressé par de la SCPI il a des proches qui en ont et ça se passe bien. Il est intéressé par tout ça. Rappeler en décembre pour le point biannuel mais il doit me rappeler en octobre pour voir plus tot comment investir en immo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</si>
</sst>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 ##0\ \€"/>
    <numFmt numFmtId="165" formatCode="0#&quot; &quot;##&quot; &quot;##&quot; &quot;##&quot; &quot;##"/>
  </numFmts>
  <fonts count="5" x14ac:knownFonts="1">
    <font>
      <sz val="12"/>
      <color theme="1"/>
      <name val="Calibri"/>
      <family val="2"/>
      <scheme val="minor"/>
    </font>
    <font>
      <sz val="12"/>
      <color theme="1"/>
      <name val="Calibri"/>
      <family val="2"/>
      <scheme val="minor"/>
    </font>
    <font>
      <b/>
      <sz val="12"/>
      <color theme="1"/>
      <name val="Calibri"/>
      <family val="2"/>
      <scheme val="minor"/>
    </font>
    <font>
      <b/>
      <sz val="26"/>
      <color indexed="9"/>
      <name val="Calibri"/>
      <family val="2"/>
      <scheme val="minor"/>
    </font>
    <font>
      <sz val="12"/>
      <color rgb="FF000000"/>
      <name val="Calibri"/>
      <family val="2"/>
    </font>
  </fonts>
  <fills count="5">
    <fill>
      <patternFill patternType="none"/>
    </fill>
    <fill>
      <patternFill patternType="gray125"/>
    </fill>
    <fill>
      <patternFill patternType="solid">
        <fgColor rgb="FFFFC000"/>
        <bgColor indexed="64"/>
      </patternFill>
    </fill>
    <fill>
      <patternFill patternType="solid">
        <fgColor rgb="FF4472C4"/>
        <bgColor indexed="64"/>
      </patternFill>
    </fill>
    <fill>
      <patternFill patternType="solid">
        <fgColor rgb="FFEDEDED"/>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97">
    <xf numFmtId="0" fontId="0" fillId="0" borderId="0" xfId="0"/>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0" xfId="0" applyFill="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4" borderId="4" xfId="0" applyFill="1" applyBorder="1" applyAlignment="1">
      <alignment horizontal="left" vertical="center"/>
    </xf>
    <xf numFmtId="0" fontId="0" fillId="4" borderId="9" xfId="0" applyFill="1" applyBorder="1" applyAlignment="1">
      <alignment horizontal="left" vertical="center"/>
    </xf>
    <xf numFmtId="0" fontId="0" fillId="4" borderId="10" xfId="0" applyFill="1" applyBorder="1" applyAlignment="1">
      <alignment horizontal="left" vertical="center"/>
    </xf>
    <xf numFmtId="0" fontId="0" fillId="4" borderId="11" xfId="0" applyFill="1" applyBorder="1" applyAlignment="1">
      <alignment horizontal="left" vertical="center"/>
    </xf>
    <xf numFmtId="0" fontId="0" fillId="4" borderId="12" xfId="0" applyFill="1" applyBorder="1" applyAlignment="1">
      <alignment horizontal="left"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5" xfId="0" applyFill="1" applyBorder="1" applyAlignment="1">
      <alignment horizontal="left" vertical="center"/>
    </xf>
    <xf numFmtId="0" fontId="0" fillId="4" borderId="16" xfId="0" applyFill="1" applyBorder="1" applyAlignment="1">
      <alignment horizontal="left" vertical="center"/>
    </xf>
    <xf numFmtId="0" fontId="0" fillId="4" borderId="20" xfId="0" applyFill="1" applyBorder="1" applyAlignment="1">
      <alignment horizontal="left" vertical="center"/>
    </xf>
    <xf numFmtId="0" fontId="0" fillId="4" borderId="18" xfId="0" applyFill="1" applyBorder="1" applyAlignment="1">
      <alignment horizontal="left" vertical="center"/>
    </xf>
    <xf numFmtId="0" fontId="0" fillId="4" borderId="17" xfId="0" applyFill="1" applyBorder="1" applyAlignment="1">
      <alignment horizontal="left" vertical="center"/>
    </xf>
    <xf numFmtId="0" fontId="2" fillId="4" borderId="2" xfId="0" applyFont="1" applyFill="1" applyBorder="1" applyAlignment="1">
      <alignment horizontal="left" vertical="center"/>
    </xf>
    <xf numFmtId="0" fontId="2" fillId="4" borderId="7" xfId="0" applyFont="1" applyFill="1" applyBorder="1" applyAlignment="1">
      <alignment horizontal="left" vertical="center"/>
    </xf>
    <xf numFmtId="0" fontId="2" fillId="4" borderId="1" xfId="0" applyFont="1" applyFill="1" applyBorder="1" applyAlignment="1">
      <alignment horizontal="left" vertical="center"/>
    </xf>
    <xf numFmtId="164" fontId="0" fillId="4" borderId="14" xfId="0" applyNumberFormat="1" applyFill="1" applyBorder="1" applyAlignment="1">
      <alignment horizontal="left" vertical="center"/>
    </xf>
    <xf numFmtId="164" fontId="0" fillId="4" borderId="15" xfId="0" applyNumberFormat="1" applyFill="1" applyBorder="1" applyAlignment="1">
      <alignment horizontal="left" vertical="center"/>
    </xf>
    <xf numFmtId="164" fontId="0" fillId="4" borderId="12" xfId="0" applyNumberFormat="1" applyFill="1" applyBorder="1" applyAlignment="1">
      <alignment horizontal="left" vertical="center"/>
    </xf>
    <xf numFmtId="9" fontId="0" fillId="4" borderId="15" xfId="1" applyFont="1" applyFill="1" applyBorder="1" applyAlignment="1">
      <alignment horizontal="left" vertical="center"/>
    </xf>
    <xf numFmtId="9" fontId="0" fillId="4" borderId="18" xfId="1" applyFont="1" applyFill="1" applyBorder="1" applyAlignment="1">
      <alignment horizontal="left" vertical="center"/>
    </xf>
    <xf numFmtId="9" fontId="0" fillId="4" borderId="12" xfId="1" applyFont="1" applyFill="1" applyBorder="1" applyAlignment="1">
      <alignment horizontal="left" vertical="center"/>
    </xf>
    <xf numFmtId="164" fontId="0" fillId="4" borderId="18" xfId="0" applyNumberFormat="1" applyFill="1" applyBorder="1" applyAlignment="1">
      <alignment horizontal="left" vertical="center"/>
    </xf>
    <xf numFmtId="165" fontId="0" fillId="4" borderId="4" xfId="0" applyNumberFormat="1" applyFill="1" applyBorder="1" applyAlignment="1">
      <alignment horizontal="left" vertical="center"/>
    </xf>
    <xf numFmtId="0" fontId="0" fillId="4" borderId="22" xfId="0" applyFill="1" applyBorder="1" applyAlignment="1">
      <alignment horizontal="center" vertical="center"/>
    </xf>
    <xf numFmtId="0" fontId="0" fillId="4" borderId="23" xfId="0" applyFill="1" applyBorder="1" applyAlignment="1">
      <alignment horizontal="center" vertical="center"/>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4" borderId="24" xfId="0" applyFill="1" applyBorder="1" applyAlignment="1">
      <alignment horizontal="center" vertical="center"/>
    </xf>
    <xf numFmtId="0" fontId="0" fillId="4" borderId="28" xfId="0" applyFill="1" applyBorder="1" applyAlignment="1">
      <alignment horizontal="center" vertical="center"/>
    </xf>
    <xf numFmtId="0" fontId="0" fillId="4" borderId="29" xfId="0" applyFill="1" applyBorder="1" applyAlignment="1">
      <alignment horizontal="center" vertical="center"/>
    </xf>
    <xf numFmtId="0" fontId="0" fillId="4" borderId="30" xfId="0" applyFill="1" applyBorder="1" applyAlignment="1">
      <alignment horizontal="center" vertical="center"/>
    </xf>
    <xf numFmtId="0" fontId="0" fillId="4" borderId="27" xfId="0" applyFill="1" applyBorder="1" applyAlignment="1">
      <alignment horizontal="center" vertical="center"/>
    </xf>
    <xf numFmtId="164" fontId="0" fillId="4" borderId="26" xfId="0" applyNumberFormat="1" applyFill="1" applyBorder="1" applyAlignment="1">
      <alignment horizontal="center" vertical="center"/>
    </xf>
    <xf numFmtId="164" fontId="0" fillId="4" borderId="29" xfId="0" applyNumberFormat="1" applyFill="1" applyBorder="1" applyAlignment="1">
      <alignment horizontal="center" vertical="center"/>
    </xf>
    <xf numFmtId="164" fontId="0" fillId="4" borderId="27" xfId="0" applyNumberFormat="1" applyFill="1" applyBorder="1" applyAlignment="1">
      <alignment horizontal="center" vertical="center"/>
    </xf>
    <xf numFmtId="9" fontId="0" fillId="4" borderId="29" xfId="1" applyFont="1" applyFill="1" applyBorder="1" applyAlignment="1">
      <alignment horizontal="center" vertical="center"/>
    </xf>
    <xf numFmtId="9" fontId="0" fillId="4" borderId="30" xfId="1" applyFont="1" applyFill="1" applyBorder="1" applyAlignment="1">
      <alignment horizontal="center" vertical="center"/>
    </xf>
    <xf numFmtId="9" fontId="0" fillId="4" borderId="26" xfId="1" applyFont="1" applyFill="1" applyBorder="1" applyAlignment="1">
      <alignment horizontal="center" vertical="center"/>
    </xf>
    <xf numFmtId="9" fontId="0" fillId="4" borderId="27" xfId="1" applyFont="1" applyFill="1" applyBorder="1" applyAlignment="1">
      <alignment horizontal="center" vertical="center"/>
    </xf>
    <xf numFmtId="164" fontId="0" fillId="4" borderId="25" xfId="0" applyNumberFormat="1" applyFill="1" applyBorder="1" applyAlignment="1">
      <alignment horizontal="center" vertical="center"/>
    </xf>
    <xf numFmtId="0" fontId="2" fillId="4" borderId="1" xfId="0" applyFont="1" applyFill="1" applyBorder="1" applyAlignment="1">
      <alignment horizontal="center" vertical="center"/>
    </xf>
    <xf numFmtId="14" fontId="0" fillId="4" borderId="25" xfId="0" applyNumberFormat="1" applyFill="1" applyBorder="1" applyAlignment="1">
      <alignment horizontal="center" vertical="center"/>
    </xf>
    <xf numFmtId="164" fontId="0" fillId="2" borderId="0" xfId="0" applyNumberFormat="1" applyFill="1"/>
    <xf numFmtId="10" fontId="0" fillId="4" borderId="29" xfId="0" applyNumberFormat="1" applyFill="1" applyBorder="1" applyAlignment="1">
      <alignment horizontal="center" vertical="center"/>
    </xf>
    <xf numFmtId="10" fontId="0" fillId="4" borderId="26" xfId="0" applyNumberFormat="1" applyFill="1" applyBorder="1" applyAlignment="1">
      <alignment horizontal="center" vertical="center"/>
    </xf>
    <xf numFmtId="10" fontId="0" fillId="2" borderId="0" xfId="0" applyNumberFormat="1" applyFill="1"/>
    <xf numFmtId="0" fontId="0" fillId="4" borderId="17" xfId="0" applyFill="1" applyBorder="1" applyAlignment="1">
      <alignment horizontal="left" vertical="center"/>
    </xf>
    <xf numFmtId="0" fontId="0" fillId="4" borderId="18" xfId="0" applyFill="1" applyBorder="1" applyAlignment="1">
      <alignment horizontal="left" vertical="center"/>
    </xf>
    <xf numFmtId="0" fontId="0" fillId="4" borderId="14" xfId="0" applyFill="1" applyBorder="1" applyAlignment="1">
      <alignment horizontal="left" vertical="center"/>
    </xf>
    <xf numFmtId="0" fontId="0" fillId="4" borderId="15" xfId="0" applyFill="1" applyBorder="1" applyAlignment="1">
      <alignment horizontal="left" vertical="center"/>
    </xf>
    <xf numFmtId="0" fontId="0" fillId="4" borderId="11" xfId="0" applyFill="1" applyBorder="1" applyAlignment="1">
      <alignment horizontal="left" vertical="center"/>
    </xf>
    <xf numFmtId="0" fontId="0" fillId="4" borderId="12" xfId="0" applyFill="1" applyBorder="1" applyAlignment="1">
      <alignment horizontal="left" vertical="center"/>
    </xf>
    <xf numFmtId="0" fontId="2" fillId="4" borderId="19" xfId="0" applyFont="1" applyFill="1" applyBorder="1" applyAlignment="1">
      <alignment horizontal="left" vertical="center"/>
    </xf>
    <xf numFmtId="0" fontId="0" fillId="4" borderId="20" xfId="0" applyFill="1" applyBorder="1" applyAlignment="1">
      <alignment horizontal="left"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0" fillId="4" borderId="19" xfId="0" applyFill="1" applyBorder="1" applyAlignment="1">
      <alignment horizontal="center" vertical="center"/>
    </xf>
    <xf numFmtId="0" fontId="0" fillId="4" borderId="21" xfId="0" applyFill="1" applyBorder="1" applyAlignment="1">
      <alignment horizontal="center" vertical="center"/>
    </xf>
    <xf numFmtId="164" fontId="0" fillId="4" borderId="17" xfId="0" applyNumberFormat="1" applyFill="1" applyBorder="1" applyAlignment="1">
      <alignment horizontal="left" vertical="center"/>
    </xf>
    <xf numFmtId="164" fontId="0" fillId="4" borderId="18" xfId="0" applyNumberFormat="1" applyFill="1" applyBorder="1" applyAlignment="1">
      <alignment horizontal="left" vertical="center"/>
    </xf>
    <xf numFmtId="0" fontId="0" fillId="4" borderId="23" xfId="0" applyFill="1" applyBorder="1" applyAlignment="1">
      <alignment horizontal="center" vertical="center"/>
    </xf>
    <xf numFmtId="0" fontId="0" fillId="2" borderId="23" xfId="0" applyFill="1" applyBorder="1"/>
    <xf numFmtId="0" fontId="0" fillId="2" borderId="24" xfId="0" applyFill="1" applyBorder="1"/>
    <xf numFmtId="0" fontId="0" fillId="4" borderId="26" xfId="0" applyFill="1" applyBorder="1" applyAlignment="1">
      <alignment horizontal="center" vertical="center" wrapText="1"/>
    </xf>
    <xf numFmtId="0" fontId="0" fillId="2" borderId="26" xfId="0" applyFill="1" applyBorder="1" applyAlignment="1">
      <alignment wrapText="1"/>
    </xf>
    <xf numFmtId="0" fontId="0" fillId="2" borderId="27" xfId="0" applyFill="1" applyBorder="1" applyAlignment="1">
      <alignment wrapText="1"/>
    </xf>
    <xf numFmtId="14" fontId="0" fillId="4" borderId="28" xfId="0" applyNumberFormat="1" applyFill="1" applyBorder="1" applyAlignment="1">
      <alignment horizontal="center" vertical="center"/>
    </xf>
    <xf numFmtId="0" fontId="0" fillId="4" borderId="25" xfId="0" applyFill="1" applyBorder="1" applyAlignment="1">
      <alignment horizontal="center" vertical="center"/>
    </xf>
    <xf numFmtId="0" fontId="0" fillId="4" borderId="29" xfId="0" applyFill="1" applyBorder="1" applyAlignment="1">
      <alignment horizontal="center" vertical="center"/>
    </xf>
    <xf numFmtId="0" fontId="0" fillId="4" borderId="26" xfId="0" applyFill="1" applyBorder="1" applyAlignment="1">
      <alignment horizontal="center" vertical="center"/>
    </xf>
    <xf numFmtId="0" fontId="0" fillId="4" borderId="30" xfId="0" applyFill="1" applyBorder="1" applyAlignment="1">
      <alignment horizontal="center" vertical="center" wrapText="1"/>
    </xf>
    <xf numFmtId="0" fontId="0" fillId="4" borderId="27" xfId="0" applyFill="1" applyBorder="1" applyAlignment="1">
      <alignment horizontal="center" vertical="center" wrapText="1"/>
    </xf>
    <xf numFmtId="9" fontId="0" fillId="4" borderId="26" xfId="1" applyFont="1" applyFill="1" applyBorder="1" applyAlignment="1">
      <alignment horizontal="center" vertical="center"/>
    </xf>
    <xf numFmtId="0" fontId="0" fillId="4" borderId="24" xfId="0" applyFill="1" applyBorder="1" applyAlignment="1">
      <alignment horizontal="center" vertical="center"/>
    </xf>
    <xf numFmtId="9" fontId="0" fillId="4" borderId="27" xfId="1" applyFont="1" applyFill="1" applyBorder="1" applyAlignment="1">
      <alignment horizontal="center" vertical="center"/>
    </xf>
    <xf numFmtId="164" fontId="0" fillId="4" borderId="25" xfId="0" applyNumberFormat="1" applyFill="1" applyBorder="1" applyAlignment="1">
      <alignment horizontal="center" vertical="center"/>
    </xf>
    <xf numFmtId="164" fontId="0" fillId="4" borderId="26" xfId="0" applyNumberFormat="1" applyFill="1" applyBorder="1" applyAlignment="1">
      <alignment horizontal="center" vertical="center"/>
    </xf>
    <xf numFmtId="0" fontId="0" fillId="4" borderId="22" xfId="0" applyFill="1" applyBorder="1" applyAlignment="1">
      <alignment horizontal="center" vertical="center"/>
    </xf>
    <xf numFmtId="0" fontId="0" fillId="4" borderId="21" xfId="0" applyFill="1" applyBorder="1" applyAlignment="1">
      <alignment horizontal="left" vertical="center"/>
    </xf>
    <xf numFmtId="0" fontId="0" fillId="4" borderId="27" xfId="0" applyFill="1" applyBorder="1" applyAlignment="1">
      <alignment horizontal="center" vertical="center"/>
    </xf>
    <xf numFmtId="0" fontId="3" fillId="3" borderId="19" xfId="0" applyFont="1" applyFill="1" applyBorder="1" applyAlignment="1">
      <alignment horizontal="center" vertical="center"/>
    </xf>
    <xf numFmtId="0" fontId="3" fillId="3" borderId="21" xfId="0" applyFont="1" applyFill="1" applyBorder="1" applyAlignment="1">
      <alignment horizontal="center" vertical="center"/>
    </xf>
    <xf numFmtId="0" fontId="3" fillId="3" borderId="20" xfId="0" applyFont="1" applyFill="1" applyBorder="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152400</xdr:colOff>
          <xdr:row>42</xdr:row>
          <xdr:rowOff>15240</xdr:rowOff>
        </xdr:from>
        <xdr:to>
          <xdr:col>7</xdr:col>
          <xdr:colOff>472440</xdr:colOff>
          <xdr:row>42</xdr:row>
          <xdr:rowOff>205740</xdr:rowOff>
        </xdr:to>
        <xdr:sp macro="" textlink="">
          <xdr:nvSpPr>
            <xdr:cNvPr id="1025" name="FC_Page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Fiche Client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594360</xdr:colOff>
          <xdr:row>42</xdr:row>
          <xdr:rowOff>15240</xdr:rowOff>
        </xdr:from>
        <xdr:to>
          <xdr:col>9</xdr:col>
          <xdr:colOff>91440</xdr:colOff>
          <xdr:row>42</xdr:row>
          <xdr:rowOff>205740</xdr:rowOff>
        </xdr:to>
        <xdr:sp macro="" textlink="">
          <xdr:nvSpPr>
            <xdr:cNvPr id="1026" name="FC_Page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Immobilier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213360</xdr:colOff>
          <xdr:row>42</xdr:row>
          <xdr:rowOff>15240</xdr:rowOff>
        </xdr:from>
        <xdr:to>
          <xdr:col>10</xdr:col>
          <xdr:colOff>304800</xdr:colOff>
          <xdr:row>42</xdr:row>
          <xdr:rowOff>205740</xdr:rowOff>
        </xdr:to>
        <xdr:sp macro="" textlink="">
          <xdr:nvSpPr>
            <xdr:cNvPr id="1027" name="FC_Page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Financier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xdr:row>
          <xdr:rowOff>60960</xdr:rowOff>
        </xdr:from>
        <xdr:to>
          <xdr:col>1</xdr:col>
          <xdr:colOff>739140</xdr:colOff>
          <xdr:row>3</xdr:row>
          <xdr:rowOff>76200</xdr:rowOff>
        </xdr:to>
        <xdr:sp macro="" textlink="">
          <xdr:nvSpPr>
            <xdr:cNvPr id="1028" name="G_Plein_Ecra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PLEIN ÉCRAN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3</xdr:row>
          <xdr:rowOff>137160</xdr:rowOff>
        </xdr:from>
        <xdr:to>
          <xdr:col>1</xdr:col>
          <xdr:colOff>739140</xdr:colOff>
          <xdr:row>4</xdr:row>
          <xdr:rowOff>175260</xdr:rowOff>
        </xdr:to>
        <xdr:sp macro="" textlink="">
          <xdr:nvSpPr>
            <xdr:cNvPr id="1029" name="G_Fenetre"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FENETRE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533400</xdr:colOff>
          <xdr:row>3</xdr:row>
          <xdr:rowOff>53340</xdr:rowOff>
        </xdr:from>
        <xdr:to>
          <xdr:col>8</xdr:col>
          <xdr:colOff>152400</xdr:colOff>
          <xdr:row>4</xdr:row>
          <xdr:rowOff>22860</xdr:rowOff>
        </xdr:to>
        <xdr:sp macro="" textlink="">
          <xdr:nvSpPr>
            <xdr:cNvPr id="1030" name="FC_Upd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3</xdr:row>
          <xdr:rowOff>53340</xdr:rowOff>
        </xdr:from>
        <xdr:to>
          <xdr:col>9</xdr:col>
          <xdr:colOff>662940</xdr:colOff>
          <xdr:row>4</xdr:row>
          <xdr:rowOff>22860</xdr:rowOff>
        </xdr:to>
        <xdr:sp macro="" textlink="">
          <xdr:nvSpPr>
            <xdr:cNvPr id="1031" name="FC_Enregistr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ENREGISTRER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6</xdr:row>
          <xdr:rowOff>38100</xdr:rowOff>
        </xdr:from>
        <xdr:to>
          <xdr:col>14</xdr:col>
          <xdr:colOff>586740</xdr:colOff>
          <xdr:row>7</xdr:row>
          <xdr:rowOff>91440</xdr:rowOff>
        </xdr:to>
        <xdr:sp macro="" textlink="">
          <xdr:nvSpPr>
            <xdr:cNvPr id="1032" name="FC_RDV"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AJOUTER RDV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8</xdr:row>
          <xdr:rowOff>137160</xdr:rowOff>
        </xdr:from>
        <xdr:to>
          <xdr:col>14</xdr:col>
          <xdr:colOff>586740</xdr:colOff>
          <xdr:row>9</xdr:row>
          <xdr:rowOff>175260</xdr:rowOff>
        </xdr:to>
        <xdr:sp macro="" textlink="">
          <xdr:nvSpPr>
            <xdr:cNvPr id="1033" name="FC_Activit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ACTIVITÉ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10</xdr:row>
          <xdr:rowOff>91440</xdr:rowOff>
        </xdr:from>
        <xdr:to>
          <xdr:col>14</xdr:col>
          <xdr:colOff>586740</xdr:colOff>
          <xdr:row>11</xdr:row>
          <xdr:rowOff>129540</xdr:rowOff>
        </xdr:to>
        <xdr:sp macro="" textlink="">
          <xdr:nvSpPr>
            <xdr:cNvPr id="1034" name="FC_Suivi"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SUIVI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12</xdr:row>
          <xdr:rowOff>53340</xdr:rowOff>
        </xdr:from>
        <xdr:to>
          <xdr:col>14</xdr:col>
          <xdr:colOff>586740</xdr:colOff>
          <xdr:row>13</xdr:row>
          <xdr:rowOff>99060</xdr:rowOff>
        </xdr:to>
        <xdr:sp macro="" textlink="">
          <xdr:nvSpPr>
            <xdr:cNvPr id="1035" name="FC_Mail"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ENVOYER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14</xdr:row>
          <xdr:rowOff>15240</xdr:rowOff>
        </xdr:from>
        <xdr:to>
          <xdr:col>14</xdr:col>
          <xdr:colOff>586740</xdr:colOff>
          <xdr:row>15</xdr:row>
          <xdr:rowOff>53340</xdr:rowOff>
        </xdr:to>
        <xdr:sp macro="" textlink="">
          <xdr:nvSpPr>
            <xdr:cNvPr id="1036" name="FC_C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GÉNÉRER CR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15</xdr:row>
          <xdr:rowOff>175260</xdr:rowOff>
        </xdr:from>
        <xdr:to>
          <xdr:col>14</xdr:col>
          <xdr:colOff>586740</xdr:colOff>
          <xdr:row>17</xdr:row>
          <xdr:rowOff>15240</xdr:rowOff>
        </xdr:to>
        <xdr:sp macro="" textlink="">
          <xdr:nvSpPr>
            <xdr:cNvPr id="1037" name="FC_Affaire"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17</xdr:row>
          <xdr:rowOff>137160</xdr:rowOff>
        </xdr:from>
        <xdr:to>
          <xdr:col>14</xdr:col>
          <xdr:colOff>586740</xdr:colOff>
          <xdr:row>18</xdr:row>
          <xdr:rowOff>190500</xdr:rowOff>
        </xdr:to>
        <xdr:sp macro="" textlink="">
          <xdr:nvSpPr>
            <xdr:cNvPr id="1038" name="FC_Docs"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GÉNÉRER DOCS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129540</xdr:colOff>
          <xdr:row>29</xdr:row>
          <xdr:rowOff>129540</xdr:rowOff>
        </xdr:from>
        <xdr:to>
          <xdr:col>7</xdr:col>
          <xdr:colOff>365760</xdr:colOff>
          <xdr:row>30</xdr:row>
          <xdr:rowOff>114300</xdr:rowOff>
        </xdr:to>
        <xdr:sp macro="" textlink="">
          <xdr:nvSpPr>
            <xdr:cNvPr id="2049" name="FC_Page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Fiche Client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29</xdr:row>
          <xdr:rowOff>129540</xdr:rowOff>
        </xdr:from>
        <xdr:to>
          <xdr:col>8</xdr:col>
          <xdr:colOff>815340</xdr:colOff>
          <xdr:row>30</xdr:row>
          <xdr:rowOff>114300</xdr:rowOff>
        </xdr:to>
        <xdr:sp macro="" textlink="">
          <xdr:nvSpPr>
            <xdr:cNvPr id="2050" name="FC_Page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Immobilier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29</xdr:row>
          <xdr:rowOff>129540</xdr:rowOff>
        </xdr:from>
        <xdr:to>
          <xdr:col>10</xdr:col>
          <xdr:colOff>434340</xdr:colOff>
          <xdr:row>30</xdr:row>
          <xdr:rowOff>114300</xdr:rowOff>
        </xdr:to>
        <xdr:sp macro="" textlink="">
          <xdr:nvSpPr>
            <xdr:cNvPr id="2051" name="FC_Page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Financier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xdr:row>
          <xdr:rowOff>60960</xdr:rowOff>
        </xdr:from>
        <xdr:to>
          <xdr:col>1</xdr:col>
          <xdr:colOff>739140</xdr:colOff>
          <xdr:row>3</xdr:row>
          <xdr:rowOff>91440</xdr:rowOff>
        </xdr:to>
        <xdr:sp macro="" textlink="">
          <xdr:nvSpPr>
            <xdr:cNvPr id="2052" name="G_Plein_Ecran"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PLEIN ÉCRAN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3</xdr:row>
          <xdr:rowOff>152400</xdr:rowOff>
        </xdr:from>
        <xdr:to>
          <xdr:col>1</xdr:col>
          <xdr:colOff>739140</xdr:colOff>
          <xdr:row>4</xdr:row>
          <xdr:rowOff>190500</xdr:rowOff>
        </xdr:to>
        <xdr:sp macro="" textlink="">
          <xdr:nvSpPr>
            <xdr:cNvPr id="2053" name="G_Fenetr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FENETRE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365760</xdr:colOff>
          <xdr:row>1</xdr:row>
          <xdr:rowOff>99060</xdr:rowOff>
        </xdr:from>
        <xdr:to>
          <xdr:col>14</xdr:col>
          <xdr:colOff>739140</xdr:colOff>
          <xdr:row>3</xdr:row>
          <xdr:rowOff>60960</xdr:rowOff>
        </xdr:to>
        <xdr:sp macro="" textlink="">
          <xdr:nvSpPr>
            <xdr:cNvPr id="2054" name="FC_Updat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23</xdr:row>
          <xdr:rowOff>137160</xdr:rowOff>
        </xdr:from>
        <xdr:to>
          <xdr:col>4</xdr:col>
          <xdr:colOff>1143000</xdr:colOff>
          <xdr:row>24</xdr:row>
          <xdr:rowOff>129540</xdr:rowOff>
        </xdr:to>
        <xdr:sp macro="" textlink="">
          <xdr:nvSpPr>
            <xdr:cNvPr id="3073" name="FC_Page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Fiche Client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23</xdr:row>
          <xdr:rowOff>137160</xdr:rowOff>
        </xdr:from>
        <xdr:to>
          <xdr:col>6</xdr:col>
          <xdr:colOff>0</xdr:colOff>
          <xdr:row>24</xdr:row>
          <xdr:rowOff>129540</xdr:rowOff>
        </xdr:to>
        <xdr:sp macro="" textlink="">
          <xdr:nvSpPr>
            <xdr:cNvPr id="3074" name="FC_Page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Immobilier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129540</xdr:colOff>
          <xdr:row>23</xdr:row>
          <xdr:rowOff>137160</xdr:rowOff>
        </xdr:from>
        <xdr:to>
          <xdr:col>7</xdr:col>
          <xdr:colOff>60960</xdr:colOff>
          <xdr:row>24</xdr:row>
          <xdr:rowOff>129540</xdr:rowOff>
        </xdr:to>
        <xdr:sp macro="" textlink="">
          <xdr:nvSpPr>
            <xdr:cNvPr id="3075" name="FC_Page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 Financier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xdr:row>
          <xdr:rowOff>60960</xdr:rowOff>
        </xdr:from>
        <xdr:to>
          <xdr:col>1</xdr:col>
          <xdr:colOff>739140</xdr:colOff>
          <xdr:row>2</xdr:row>
          <xdr:rowOff>60960</xdr:rowOff>
        </xdr:to>
        <xdr:sp macro="" textlink="">
          <xdr:nvSpPr>
            <xdr:cNvPr id="3076" name="G_Plein_Ecran"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PLEIN ÉCRAN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xdr:row>
          <xdr:rowOff>129540</xdr:rowOff>
        </xdr:from>
        <xdr:to>
          <xdr:col>1</xdr:col>
          <xdr:colOff>739140</xdr:colOff>
          <xdr:row>3</xdr:row>
          <xdr:rowOff>167640</xdr:rowOff>
        </xdr:to>
        <xdr:sp macro="" textlink="">
          <xdr:nvSpPr>
            <xdr:cNvPr id="3077" name="G_Fenetre"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FENETRE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381000</xdr:colOff>
          <xdr:row>1</xdr:row>
          <xdr:rowOff>99060</xdr:rowOff>
        </xdr:from>
        <xdr:to>
          <xdr:col>9</xdr:col>
          <xdr:colOff>441960</xdr:colOff>
          <xdr:row>2</xdr:row>
          <xdr:rowOff>38100</xdr:rowOff>
        </xdr:to>
        <xdr:sp macro="" textlink="">
          <xdr:nvSpPr>
            <xdr:cNvPr id="3078" name="FC_Update"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1"/>
      <sheetName val="PERSONAL"/>
    </sheetNames>
    <definedNames>
      <definedName name="FC_Activite"/>
      <definedName name="FC_Affaire"/>
      <definedName name="FC_CR"/>
      <definedName name="FC_Docs"/>
      <definedName name="FC_Enregistrer"/>
      <definedName name="FC_Mail"/>
      <definedName name="FC_Page1"/>
      <definedName name="FC_Page2"/>
      <definedName name="FC_Page3"/>
      <definedName name="FC_RDV"/>
      <definedName name="FC_Suivi"/>
      <definedName name="FC_Update"/>
      <definedName name="G_Fenetre"/>
      <definedName name="G_Plein_Ecran"/>
    </definedNames>
    <sheetDataSet>
      <sheetData sheetId="0"/>
      <sheetData sheetId="1" refreshError="1"/>
    </sheetDataSet>
  </externalBook>
</externalLink>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4440D-1C90-084B-BA2C-0EF4B97F0D59}">
  <sheetPr codeName="Feuil1"/>
  <dimension ref="B1:BB43"/>
  <sheetViews>
    <sheetView showGridLines="0" showRowColHeaders="0" tabSelected="1" zoomScale="117" zoomScaleNormal="117" workbookViewId="0">
      <selection activeCell="M12" sqref="M12"/>
    </sheetView>
  </sheetViews>
  <sheetFormatPr baseColWidth="10" defaultRowHeight="15.6" outlineLevelRow="1" x14ac:dyDescent="0.3"/>
  <cols>
    <col min="1" max="1" width="5.796875" customWidth="1"/>
    <col min="4" max="4" width="13.796875" customWidth="1"/>
    <col min="10" max="11" width="13.796875" customWidth="1"/>
    <col min="12" max="12" width="12.796875" customWidth="1"/>
    <col min="13" max="13" width="13.796875" customWidth="1"/>
    <col min="16" max="16" width="5.796875" customWidth="1"/>
    <col min="53" max="54" width="0" hidden="1" customWidth="1"/>
  </cols>
  <sheetData>
    <row r="1" spans="2:54" ht="16.2" thickBot="1" x14ac:dyDescent="0.35"/>
    <row r="2" spans="2:54" ht="16.2" thickBot="1" x14ac:dyDescent="0.35">
      <c r="B2" s="1"/>
      <c r="C2" s="2"/>
      <c r="D2" s="2"/>
      <c r="E2" s="2"/>
      <c r="F2" s="64" t="s">
        <v>103</v>
      </c>
      <c r="G2" s="65"/>
      <c r="H2" s="65"/>
      <c r="I2" s="65"/>
      <c r="J2" s="65"/>
      <c r="K2" s="66"/>
      <c r="L2" s="2"/>
      <c r="M2" s="2"/>
      <c r="N2" s="2"/>
      <c r="O2" s="3"/>
    </row>
    <row r="3" spans="2:54" ht="16.2" thickBot="1" x14ac:dyDescent="0.35">
      <c r="B3" s="4"/>
      <c r="C3" s="22" t="s">
        <v>0</v>
      </c>
      <c r="D3" s="32">
        <v>638748277</v>
      </c>
      <c r="E3" s="5"/>
      <c r="F3" s="67"/>
      <c r="G3" s="68"/>
      <c r="H3" s="68"/>
      <c r="I3" s="68"/>
      <c r="J3" s="68"/>
      <c r="K3" s="69"/>
      <c r="L3" s="5"/>
      <c r="M3" s="22" t="s">
        <v>37</v>
      </c>
      <c r="N3" s="10" t="s">
        <v>101</v>
      </c>
      <c r="O3" s="6"/>
    </row>
    <row r="4" spans="2:54" ht="16.2" thickBot="1" x14ac:dyDescent="0.35">
      <c r="B4" s="4"/>
      <c r="C4" s="23" t="s">
        <v>1</v>
      </c>
      <c r="D4" s="11" t="s">
        <v>95</v>
      </c>
      <c r="E4" s="5"/>
      <c r="F4" s="5"/>
      <c r="G4" s="5"/>
      <c r="H4" s="5"/>
      <c r="I4" s="5"/>
      <c r="J4" s="5"/>
      <c r="K4" s="5"/>
      <c r="L4" s="5"/>
      <c r="M4" s="23" t="s">
        <v>38</v>
      </c>
      <c r="N4" s="11" t="s">
        <v>102</v>
      </c>
      <c r="O4" s="6"/>
      <c r="BA4" t="s">
        <v>126</v>
      </c>
      <c r="BB4" t="s">
        <v>141</v>
      </c>
    </row>
    <row r="5" spans="2:54" ht="16.2" thickBot="1" x14ac:dyDescent="0.35">
      <c r="B5" s="4"/>
      <c r="C5" s="5"/>
      <c r="D5" s="5"/>
      <c r="E5" s="5"/>
      <c r="F5" s="5"/>
      <c r="G5" s="5"/>
      <c r="H5" s="5"/>
      <c r="I5" s="5"/>
      <c r="J5" s="5"/>
      <c r="K5" s="5"/>
      <c r="L5" s="5"/>
      <c r="M5" s="5"/>
      <c r="N5" s="5"/>
      <c r="O5" s="6"/>
      <c r="BA5" t="s">
        <v>127</v>
      </c>
      <c r="BB5" t="s">
        <v>142</v>
      </c>
    </row>
    <row r="6" spans="2:54" ht="16.2" thickBot="1" x14ac:dyDescent="0.35">
      <c r="B6" s="4"/>
      <c r="C6" s="24" t="s">
        <v>2</v>
      </c>
      <c r="D6" s="5"/>
      <c r="E6" s="5"/>
      <c r="F6" s="5"/>
      <c r="G6" s="5"/>
      <c r="H6" s="5"/>
      <c r="I6" s="5"/>
      <c r="J6" s="62" t="s">
        <v>17</v>
      </c>
      <c r="K6" s="63"/>
      <c r="L6" s="5"/>
      <c r="M6" s="5"/>
      <c r="N6" s="5"/>
      <c r="O6" s="6"/>
      <c r="BA6" t="s">
        <v>128</v>
      </c>
    </row>
    <row r="7" spans="2:54" x14ac:dyDescent="0.3">
      <c r="B7" s="4"/>
      <c r="C7" s="12" t="s">
        <v>3</v>
      </c>
      <c r="D7" s="60" t="s">
        <v>96</v>
      </c>
      <c r="E7" s="61"/>
      <c r="F7" s="12" t="s">
        <v>12</v>
      </c>
      <c r="G7" s="13" t="s">
        <v>98</v>
      </c>
      <c r="H7" s="14" t="s">
        <v>99</v>
      </c>
      <c r="I7" s="5"/>
      <c r="J7" s="12" t="s">
        <v>18</v>
      </c>
      <c r="K7" s="27">
        <v>2238.3000000000002</v>
      </c>
      <c r="L7" s="12" t="s">
        <v>28</v>
      </c>
      <c r="M7" s="30">
        <v>0.40909090909090912</v>
      </c>
      <c r="N7" s="5"/>
      <c r="O7" s="6"/>
      <c r="BA7" t="s">
        <v>129</v>
      </c>
    </row>
    <row r="8" spans="2:54" x14ac:dyDescent="0.3">
      <c r="B8" s="4"/>
      <c r="C8" s="15" t="s">
        <v>4</v>
      </c>
      <c r="D8" s="58" t="s">
        <v>97</v>
      </c>
      <c r="E8" s="59"/>
      <c r="F8" s="15" t="s">
        <v>13</v>
      </c>
      <c r="G8" s="25">
        <v>40000</v>
      </c>
      <c r="H8" s="26">
        <v>30800</v>
      </c>
      <c r="I8" s="5"/>
      <c r="J8" s="15" t="s">
        <v>19</v>
      </c>
      <c r="K8" s="28">
        <v>0.3</v>
      </c>
      <c r="L8" s="15" t="s">
        <v>29</v>
      </c>
      <c r="M8" s="28">
        <v>0</v>
      </c>
      <c r="N8" s="5"/>
      <c r="O8" s="6"/>
      <c r="BA8" t="s">
        <v>130</v>
      </c>
    </row>
    <row r="9" spans="2:54" ht="16.2" thickBot="1" x14ac:dyDescent="0.35">
      <c r="B9" s="4"/>
      <c r="C9" s="18" t="s">
        <v>5</v>
      </c>
      <c r="D9" s="56">
        <v>26</v>
      </c>
      <c r="E9" s="57"/>
      <c r="F9" s="18" t="s">
        <v>14</v>
      </c>
      <c r="G9" s="72"/>
      <c r="H9" s="73"/>
      <c r="I9" s="5"/>
      <c r="J9" s="18" t="s">
        <v>20</v>
      </c>
      <c r="K9" s="29">
        <v>7.2672077922077929E-2</v>
      </c>
      <c r="L9" s="18" t="s">
        <v>30</v>
      </c>
      <c r="M9" s="31">
        <v>350</v>
      </c>
      <c r="N9" s="5"/>
      <c r="O9" s="6"/>
      <c r="BA9" t="s">
        <v>131</v>
      </c>
    </row>
    <row r="10" spans="2:54" ht="16.2" thickBot="1" x14ac:dyDescent="0.35">
      <c r="B10" s="4"/>
      <c r="C10" s="5"/>
      <c r="D10" s="5"/>
      <c r="E10" s="5"/>
      <c r="F10" s="5"/>
      <c r="G10" s="5"/>
      <c r="H10" s="5"/>
      <c r="I10" s="5"/>
      <c r="J10" s="5"/>
      <c r="K10" s="5"/>
      <c r="L10" s="5"/>
      <c r="M10" s="5"/>
      <c r="N10" s="5"/>
      <c r="O10" s="6"/>
      <c r="BA10" t="s">
        <v>132</v>
      </c>
    </row>
    <row r="11" spans="2:54" ht="16.2" thickBot="1" x14ac:dyDescent="0.35">
      <c r="B11" s="4"/>
      <c r="C11" s="62" t="s">
        <v>6</v>
      </c>
      <c r="D11" s="63"/>
      <c r="E11" s="5"/>
      <c r="F11" s="70" t="s">
        <v>15</v>
      </c>
      <c r="G11" s="71"/>
      <c r="H11" s="19" t="s">
        <v>16</v>
      </c>
      <c r="I11" s="5"/>
      <c r="J11" s="62" t="s">
        <v>7</v>
      </c>
      <c r="K11" s="63"/>
      <c r="L11" s="5"/>
      <c r="M11" s="5"/>
      <c r="N11" s="5"/>
      <c r="O11" s="6"/>
      <c r="BA11" t="s">
        <v>133</v>
      </c>
    </row>
    <row r="12" spans="2:54" x14ac:dyDescent="0.3">
      <c r="B12" s="4"/>
      <c r="C12" s="12" t="s">
        <v>7</v>
      </c>
      <c r="D12" s="14" t="s">
        <v>100</v>
      </c>
      <c r="E12" s="12" t="s">
        <v>4</v>
      </c>
      <c r="F12" s="13"/>
      <c r="G12" s="13"/>
      <c r="H12" s="14"/>
      <c r="I12" s="5"/>
      <c r="J12" s="12" t="s">
        <v>21</v>
      </c>
      <c r="K12" s="27">
        <v>2566.6666666666665</v>
      </c>
      <c r="L12" s="12" t="s">
        <v>31</v>
      </c>
      <c r="M12" s="27">
        <v>1050</v>
      </c>
      <c r="N12" s="5"/>
      <c r="O12" s="6"/>
      <c r="BA12" t="s">
        <v>134</v>
      </c>
    </row>
    <row r="13" spans="2:54" x14ac:dyDescent="0.3">
      <c r="B13" s="4"/>
      <c r="C13" s="15" t="s">
        <v>8</v>
      </c>
      <c r="D13" s="17"/>
      <c r="E13" s="15" t="s">
        <v>5</v>
      </c>
      <c r="F13" s="16"/>
      <c r="G13" s="16"/>
      <c r="H13" s="17"/>
      <c r="I13" s="5"/>
      <c r="J13" s="15" t="s">
        <v>22</v>
      </c>
      <c r="K13" s="26">
        <v>0</v>
      </c>
      <c r="L13" s="15" t="s">
        <v>32</v>
      </c>
      <c r="M13" s="26">
        <v>0</v>
      </c>
      <c r="N13" s="5"/>
      <c r="O13" s="6"/>
      <c r="BA13" t="s">
        <v>135</v>
      </c>
    </row>
    <row r="14" spans="2:54" ht="16.2" thickBot="1" x14ac:dyDescent="0.35">
      <c r="B14" s="4"/>
      <c r="C14" s="18" t="s">
        <v>9</v>
      </c>
      <c r="D14" s="20">
        <v>1</v>
      </c>
      <c r="E14" s="18" t="s">
        <v>11</v>
      </c>
      <c r="F14" s="21"/>
      <c r="G14" s="21"/>
      <c r="H14" s="20"/>
      <c r="I14" s="5"/>
      <c r="J14" s="18" t="s">
        <v>23</v>
      </c>
      <c r="K14" s="31">
        <v>30800</v>
      </c>
      <c r="L14" s="18" t="s">
        <v>33</v>
      </c>
      <c r="M14" s="31">
        <v>12600</v>
      </c>
      <c r="N14" s="5"/>
      <c r="O14" s="6"/>
      <c r="BA14" t="s">
        <v>136</v>
      </c>
    </row>
    <row r="15" spans="2:54" ht="16.2" thickBot="1" x14ac:dyDescent="0.35">
      <c r="B15" s="4"/>
      <c r="C15" s="5"/>
      <c r="D15" s="5"/>
      <c r="E15" s="5"/>
      <c r="F15" s="5"/>
      <c r="G15" s="5"/>
      <c r="H15" s="5"/>
      <c r="I15" s="5"/>
      <c r="J15" s="5"/>
      <c r="K15" s="5"/>
      <c r="L15" s="5"/>
      <c r="M15" s="5"/>
      <c r="N15" s="5"/>
      <c r="O15" s="6"/>
      <c r="BA15" t="s">
        <v>137</v>
      </c>
    </row>
    <row r="16" spans="2:54" ht="16.2" thickBot="1" x14ac:dyDescent="0.35">
      <c r="B16" s="4"/>
      <c r="C16" s="24" t="s">
        <v>10</v>
      </c>
      <c r="D16" s="5"/>
      <c r="E16" s="5"/>
      <c r="F16" s="5"/>
      <c r="G16" s="5"/>
      <c r="H16" s="5"/>
      <c r="I16" s="5"/>
      <c r="J16" s="62" t="s">
        <v>24</v>
      </c>
      <c r="K16" s="63"/>
      <c r="L16" s="5"/>
      <c r="M16" s="5"/>
      <c r="N16" s="5"/>
      <c r="O16" s="6"/>
      <c r="BA16" t="s">
        <v>138</v>
      </c>
    </row>
    <row r="17" spans="2:53" x14ac:dyDescent="0.3">
      <c r="B17" s="4"/>
      <c r="C17" s="12" t="s">
        <v>3</v>
      </c>
      <c r="D17" s="60"/>
      <c r="E17" s="61"/>
      <c r="F17" s="12" t="s">
        <v>12</v>
      </c>
      <c r="G17" s="13"/>
      <c r="H17" s="14"/>
      <c r="I17" s="5"/>
      <c r="J17" s="12" t="s">
        <v>25</v>
      </c>
      <c r="K17" s="27">
        <v>0</v>
      </c>
      <c r="L17" s="12" t="s">
        <v>34</v>
      </c>
      <c r="M17" s="27">
        <v>0</v>
      </c>
      <c r="N17" s="5"/>
      <c r="O17" s="6"/>
      <c r="BA17" t="s">
        <v>139</v>
      </c>
    </row>
    <row r="18" spans="2:53" x14ac:dyDescent="0.3">
      <c r="B18" s="4"/>
      <c r="C18" s="15" t="s">
        <v>4</v>
      </c>
      <c r="D18" s="58"/>
      <c r="E18" s="59"/>
      <c r="F18" s="15" t="s">
        <v>13</v>
      </c>
      <c r="G18" s="25"/>
      <c r="H18" s="26">
        <v>0</v>
      </c>
      <c r="I18" s="5"/>
      <c r="J18" s="15" t="s">
        <v>26</v>
      </c>
      <c r="K18" s="26">
        <v>35500</v>
      </c>
      <c r="L18" s="15" t="s">
        <v>35</v>
      </c>
      <c r="M18" s="26">
        <v>1000</v>
      </c>
      <c r="N18" s="5"/>
      <c r="O18" s="6"/>
      <c r="BA18" t="s">
        <v>140</v>
      </c>
    </row>
    <row r="19" spans="2:53" ht="16.2" thickBot="1" x14ac:dyDescent="0.35">
      <c r="B19" s="4"/>
      <c r="C19" s="18" t="s">
        <v>5</v>
      </c>
      <c r="D19" s="56"/>
      <c r="E19" s="57"/>
      <c r="F19" s="18" t="s">
        <v>14</v>
      </c>
      <c r="G19" s="72"/>
      <c r="H19" s="73"/>
      <c r="I19" s="5"/>
      <c r="J19" s="18" t="s">
        <v>27</v>
      </c>
      <c r="K19" s="31">
        <v>35500</v>
      </c>
      <c r="L19" s="18" t="s">
        <v>36</v>
      </c>
      <c r="M19" s="31">
        <v>35500</v>
      </c>
      <c r="N19" s="5"/>
      <c r="O19" s="6"/>
    </row>
    <row r="20" spans="2:53" ht="16.2" outlineLevel="1" thickBot="1" x14ac:dyDescent="0.35">
      <c r="B20" s="4"/>
      <c r="C20" s="5"/>
      <c r="D20" s="5"/>
      <c r="E20" s="5"/>
      <c r="F20" s="5"/>
      <c r="G20" s="5"/>
      <c r="H20" s="5"/>
      <c r="I20" s="5"/>
      <c r="J20" s="5"/>
      <c r="K20" s="5"/>
      <c r="L20" s="5"/>
      <c r="M20" s="5"/>
      <c r="N20" s="5"/>
      <c r="O20" s="6"/>
    </row>
    <row r="21" spans="2:53" ht="16.2" outlineLevel="1" thickBot="1" x14ac:dyDescent="0.35">
      <c r="B21" s="4"/>
      <c r="C21" s="50" t="s">
        <v>143</v>
      </c>
      <c r="D21" s="5"/>
      <c r="E21" s="5"/>
      <c r="F21" s="5"/>
      <c r="G21" s="5"/>
      <c r="H21" s="5"/>
      <c r="I21" s="5"/>
      <c r="J21" s="5"/>
      <c r="K21" s="5"/>
      <c r="L21" s="5"/>
      <c r="M21" s="5"/>
      <c r="N21" s="5"/>
      <c r="O21" s="6"/>
    </row>
    <row r="22" spans="2:53" outlineLevel="1" x14ac:dyDescent="0.3">
      <c r="B22" s="4"/>
      <c r="C22" s="33" t="s">
        <v>46</v>
      </c>
      <c r="D22" s="34" t="s">
        <v>113</v>
      </c>
      <c r="E22" s="34" t="s">
        <v>114</v>
      </c>
      <c r="F22" s="34" t="s">
        <v>42</v>
      </c>
      <c r="G22" s="74" t="s">
        <v>110</v>
      </c>
      <c r="H22" s="75"/>
      <c r="I22" s="75"/>
      <c r="J22" s="75"/>
      <c r="K22" s="75"/>
      <c r="L22" s="75"/>
      <c r="M22" s="76"/>
      <c r="N22" s="5"/>
      <c r="O22" s="6"/>
    </row>
    <row r="23" spans="2:53" ht="16.2" outlineLevel="1" thickBot="1" x14ac:dyDescent="0.35">
      <c r="B23" s="4"/>
      <c r="C23" s="51">
        <v>44741</v>
      </c>
      <c r="D23" s="36">
        <v>26</v>
      </c>
      <c r="E23" s="36" t="s">
        <v>144</v>
      </c>
      <c r="F23" s="36" t="s">
        <v>115</v>
      </c>
      <c r="G23" s="77" t="s">
        <v>145</v>
      </c>
      <c r="H23" s="78"/>
      <c r="I23" s="78"/>
      <c r="J23" s="78"/>
      <c r="K23" s="78"/>
      <c r="L23" s="78"/>
      <c r="M23" s="79"/>
      <c r="N23" s="5"/>
      <c r="O23" s="6"/>
    </row>
    <row r="24" spans="2:53" ht="16.2" outlineLevel="1" thickBot="1" x14ac:dyDescent="0.35">
      <c r="B24" s="4"/>
      <c r="C24" s="5"/>
      <c r="D24" s="5"/>
      <c r="E24" s="5"/>
      <c r="F24" s="5"/>
      <c r="G24" s="5"/>
      <c r="H24" s="5"/>
      <c r="I24" s="5"/>
      <c r="J24" s="5"/>
      <c r="K24" s="5"/>
      <c r="L24" s="5"/>
      <c r="M24" s="5"/>
      <c r="N24" s="5"/>
      <c r="O24" s="6"/>
    </row>
    <row r="25" spans="2:53" ht="16.2" outlineLevel="1" thickBot="1" x14ac:dyDescent="0.35">
      <c r="B25" s="4"/>
      <c r="C25" s="50" t="s">
        <v>125</v>
      </c>
      <c r="D25" s="5"/>
      <c r="E25" s="5"/>
      <c r="F25" s="5"/>
      <c r="G25" s="5"/>
      <c r="H25" s="5"/>
      <c r="I25" s="5"/>
      <c r="J25" s="5"/>
      <c r="K25" s="5"/>
      <c r="L25" s="5"/>
      <c r="M25" s="5"/>
      <c r="N25" s="5"/>
      <c r="O25" s="6"/>
    </row>
    <row r="26" spans="2:53" outlineLevel="1" x14ac:dyDescent="0.3">
      <c r="B26" s="4"/>
      <c r="C26" s="33" t="s">
        <v>46</v>
      </c>
      <c r="D26" s="34" t="s">
        <v>113</v>
      </c>
      <c r="E26" s="34" t="s">
        <v>114</v>
      </c>
      <c r="F26" s="34" t="s">
        <v>42</v>
      </c>
      <c r="G26" s="34" t="s">
        <v>54</v>
      </c>
      <c r="H26" s="34" t="s">
        <v>120</v>
      </c>
      <c r="I26" s="34" t="s">
        <v>121</v>
      </c>
      <c r="J26" s="34" t="s">
        <v>122</v>
      </c>
      <c r="K26" s="34" t="s">
        <v>123</v>
      </c>
      <c r="L26" s="34" t="s">
        <v>124</v>
      </c>
      <c r="M26" s="37" t="s">
        <v>110</v>
      </c>
      <c r="N26" s="5"/>
      <c r="O26" s="6"/>
    </row>
    <row r="27" spans="2:53" outlineLevel="1" x14ac:dyDescent="0.3">
      <c r="B27" s="4"/>
      <c r="C27" s="80">
        <v>44545</v>
      </c>
      <c r="D27" s="82">
        <v>50</v>
      </c>
      <c r="E27" s="82" t="s">
        <v>119</v>
      </c>
      <c r="F27" s="82" t="s">
        <v>115</v>
      </c>
      <c r="G27" s="39" t="s">
        <v>141</v>
      </c>
      <c r="H27" s="39" t="s">
        <v>130</v>
      </c>
      <c r="I27" s="43">
        <v>150</v>
      </c>
      <c r="J27" s="43">
        <v>0</v>
      </c>
      <c r="K27" s="53" t="s">
        <v>111</v>
      </c>
      <c r="L27" s="43">
        <f>I27*12*10</f>
        <v>18000</v>
      </c>
      <c r="M27" s="84" t="s">
        <v>111</v>
      </c>
      <c r="N27" s="5"/>
      <c r="O27" s="6"/>
    </row>
    <row r="28" spans="2:53" ht="16.2" outlineLevel="1" thickBot="1" x14ac:dyDescent="0.35">
      <c r="B28" s="4"/>
      <c r="C28" s="81"/>
      <c r="D28" s="83"/>
      <c r="E28" s="83"/>
      <c r="F28" s="83"/>
      <c r="G28" s="36" t="s">
        <v>141</v>
      </c>
      <c r="H28" s="36" t="s">
        <v>131</v>
      </c>
      <c r="I28" s="42">
        <v>150</v>
      </c>
      <c r="J28" s="42">
        <v>0</v>
      </c>
      <c r="K28" s="54" t="s">
        <v>111</v>
      </c>
      <c r="L28" s="42">
        <f>L27</f>
        <v>18000</v>
      </c>
      <c r="M28" s="85"/>
      <c r="N28" s="5"/>
      <c r="O28" s="6"/>
    </row>
    <row r="29" spans="2:53" ht="16.2" outlineLevel="1" thickBot="1" x14ac:dyDescent="0.35">
      <c r="B29" s="4"/>
      <c r="C29" s="5"/>
      <c r="D29" s="5"/>
      <c r="E29" s="5"/>
      <c r="F29" s="5"/>
      <c r="G29" s="5"/>
      <c r="H29" s="5"/>
      <c r="I29" s="52"/>
      <c r="J29" s="52"/>
      <c r="K29" s="55"/>
      <c r="L29" s="52"/>
      <c r="M29" s="5"/>
      <c r="N29" s="5"/>
      <c r="O29" s="6"/>
    </row>
    <row r="30" spans="2:53" ht="16.2" outlineLevel="1" thickBot="1" x14ac:dyDescent="0.35">
      <c r="B30" s="4"/>
      <c r="C30" s="50" t="s">
        <v>118</v>
      </c>
      <c r="D30" s="5"/>
      <c r="E30" s="5"/>
      <c r="F30" s="5"/>
      <c r="G30" s="5"/>
      <c r="H30" s="5"/>
      <c r="I30" s="5"/>
      <c r="J30" s="5"/>
      <c r="K30" s="5"/>
      <c r="L30" s="5"/>
      <c r="M30" s="5"/>
      <c r="N30" s="5"/>
      <c r="O30" s="6"/>
    </row>
    <row r="31" spans="2:53" outlineLevel="1" x14ac:dyDescent="0.3">
      <c r="B31" s="4"/>
      <c r="C31" s="33" t="s">
        <v>46</v>
      </c>
      <c r="D31" s="34" t="s">
        <v>113</v>
      </c>
      <c r="E31" s="34" t="s">
        <v>114</v>
      </c>
      <c r="F31" s="34" t="s">
        <v>42</v>
      </c>
      <c r="G31" s="74" t="s">
        <v>110</v>
      </c>
      <c r="H31" s="75"/>
      <c r="I31" s="75"/>
      <c r="J31" s="75"/>
      <c r="K31" s="75"/>
      <c r="L31" s="75"/>
      <c r="M31" s="76"/>
      <c r="N31" s="5"/>
      <c r="O31" s="6"/>
    </row>
    <row r="32" spans="2:53" ht="16.2" outlineLevel="1" thickBot="1" x14ac:dyDescent="0.35">
      <c r="B32" s="4"/>
      <c r="C32" s="51">
        <v>44537</v>
      </c>
      <c r="D32" s="36">
        <v>49</v>
      </c>
      <c r="E32" s="36" t="s">
        <v>119</v>
      </c>
      <c r="F32" s="36" t="s">
        <v>115</v>
      </c>
      <c r="G32" s="77" t="s">
        <v>111</v>
      </c>
      <c r="H32" s="78"/>
      <c r="I32" s="78"/>
      <c r="J32" s="78"/>
      <c r="K32" s="78"/>
      <c r="L32" s="78"/>
      <c r="M32" s="79"/>
      <c r="N32" s="5"/>
      <c r="O32" s="6"/>
    </row>
    <row r="33" spans="2:15" ht="16.2" outlineLevel="1" thickBot="1" x14ac:dyDescent="0.35">
      <c r="B33" s="4"/>
      <c r="C33" s="5"/>
      <c r="D33" s="5"/>
      <c r="E33" s="5"/>
      <c r="F33" s="5"/>
      <c r="G33" s="5"/>
      <c r="H33" s="5"/>
      <c r="I33" s="5"/>
      <c r="J33" s="5"/>
      <c r="K33" s="5"/>
      <c r="L33" s="5"/>
      <c r="M33" s="5"/>
      <c r="N33" s="5"/>
      <c r="O33" s="6"/>
    </row>
    <row r="34" spans="2:15" ht="16.2" outlineLevel="1" thickBot="1" x14ac:dyDescent="0.35">
      <c r="B34" s="4"/>
      <c r="C34" s="50" t="s">
        <v>117</v>
      </c>
      <c r="D34" s="5"/>
      <c r="E34" s="5"/>
      <c r="F34" s="5"/>
      <c r="G34" s="5"/>
      <c r="H34" s="5"/>
      <c r="I34" s="5"/>
      <c r="J34" s="5"/>
      <c r="K34" s="5"/>
      <c r="L34" s="5"/>
      <c r="M34" s="5"/>
      <c r="N34" s="5"/>
      <c r="O34" s="6"/>
    </row>
    <row r="35" spans="2:15" outlineLevel="1" x14ac:dyDescent="0.3">
      <c r="B35" s="4"/>
      <c r="C35" s="33" t="s">
        <v>46</v>
      </c>
      <c r="D35" s="34" t="s">
        <v>113</v>
      </c>
      <c r="E35" s="34" t="s">
        <v>114</v>
      </c>
      <c r="F35" s="34" t="s">
        <v>42</v>
      </c>
      <c r="G35" s="74" t="s">
        <v>110</v>
      </c>
      <c r="H35" s="75"/>
      <c r="I35" s="75"/>
      <c r="J35" s="75"/>
      <c r="K35" s="75"/>
      <c r="L35" s="75"/>
      <c r="M35" s="76"/>
      <c r="N35" s="5"/>
      <c r="O35" s="6"/>
    </row>
    <row r="36" spans="2:15" ht="16.2" outlineLevel="1" thickBot="1" x14ac:dyDescent="0.35">
      <c r="B36" s="4"/>
      <c r="C36" s="51">
        <v>44519</v>
      </c>
      <c r="D36" s="36">
        <v>46</v>
      </c>
      <c r="E36" s="36" t="s">
        <v>116</v>
      </c>
      <c r="F36" s="36" t="s">
        <v>115</v>
      </c>
      <c r="G36" s="77" t="s">
        <v>111</v>
      </c>
      <c r="H36" s="78"/>
      <c r="I36" s="78"/>
      <c r="J36" s="78"/>
      <c r="K36" s="78"/>
      <c r="L36" s="78"/>
      <c r="M36" s="79"/>
      <c r="N36" s="5"/>
      <c r="O36" s="6"/>
    </row>
    <row r="37" spans="2:15" ht="16.2" outlineLevel="1" thickBot="1" x14ac:dyDescent="0.35">
      <c r="B37" s="4"/>
      <c r="C37" s="5"/>
      <c r="D37" s="5"/>
      <c r="E37" s="5"/>
      <c r="F37" s="5"/>
      <c r="G37" s="5"/>
      <c r="H37" s="5"/>
      <c r="I37" s="5"/>
      <c r="J37" s="5"/>
      <c r="K37" s="5"/>
      <c r="L37" s="5"/>
      <c r="M37" s="5"/>
      <c r="N37" s="5"/>
      <c r="O37" s="6"/>
    </row>
    <row r="38" spans="2:15" ht="16.2" outlineLevel="1" thickBot="1" x14ac:dyDescent="0.35">
      <c r="B38" s="4"/>
      <c r="C38" s="50" t="s">
        <v>112</v>
      </c>
      <c r="D38" s="5"/>
      <c r="E38" s="5"/>
      <c r="F38" s="5"/>
      <c r="G38" s="5"/>
      <c r="H38" s="5"/>
      <c r="I38" s="5"/>
      <c r="J38" s="5"/>
      <c r="K38" s="5"/>
      <c r="L38" s="5"/>
      <c r="M38" s="5"/>
      <c r="N38" s="5"/>
      <c r="O38" s="6"/>
    </row>
    <row r="39" spans="2:15" outlineLevel="1" x14ac:dyDescent="0.3">
      <c r="B39" s="4"/>
      <c r="C39" s="33" t="s">
        <v>46</v>
      </c>
      <c r="D39" s="34" t="s">
        <v>113</v>
      </c>
      <c r="E39" s="34" t="s">
        <v>114</v>
      </c>
      <c r="F39" s="34" t="s">
        <v>42</v>
      </c>
      <c r="G39" s="74" t="s">
        <v>110</v>
      </c>
      <c r="H39" s="75"/>
      <c r="I39" s="75"/>
      <c r="J39" s="75"/>
      <c r="K39" s="75"/>
      <c r="L39" s="75"/>
      <c r="M39" s="76"/>
      <c r="N39" s="5"/>
      <c r="O39" s="6"/>
    </row>
    <row r="40" spans="2:15" ht="16.2" outlineLevel="1" thickBot="1" x14ac:dyDescent="0.35">
      <c r="B40" s="4"/>
      <c r="C40" s="51">
        <v>44505</v>
      </c>
      <c r="D40" s="36">
        <v>44</v>
      </c>
      <c r="E40" s="36" t="s">
        <v>116</v>
      </c>
      <c r="F40" s="36" t="s">
        <v>115</v>
      </c>
      <c r="G40" s="77" t="s">
        <v>111</v>
      </c>
      <c r="H40" s="78"/>
      <c r="I40" s="78"/>
      <c r="J40" s="78"/>
      <c r="K40" s="78"/>
      <c r="L40" s="78"/>
      <c r="M40" s="79"/>
      <c r="N40" s="5"/>
      <c r="O40" s="6"/>
    </row>
    <row r="41" spans="2:15" outlineLevel="1" x14ac:dyDescent="0.3">
      <c r="B41" s="4"/>
      <c r="C41" s="5"/>
      <c r="D41" s="5"/>
      <c r="E41" s="5"/>
      <c r="F41" s="5"/>
      <c r="G41" s="5"/>
      <c r="H41" s="5"/>
      <c r="I41" s="5"/>
      <c r="J41" s="5"/>
      <c r="K41" s="5"/>
      <c r="L41" s="5"/>
      <c r="M41" s="5"/>
      <c r="N41" s="5"/>
      <c r="O41" s="6"/>
    </row>
    <row r="42" spans="2:15" x14ac:dyDescent="0.3">
      <c r="B42" s="4"/>
      <c r="C42" s="5"/>
      <c r="D42" s="5"/>
      <c r="E42" s="5"/>
      <c r="F42" s="5"/>
      <c r="G42" s="5"/>
      <c r="H42" s="5"/>
      <c r="I42" s="5"/>
      <c r="J42" s="5"/>
      <c r="K42" s="5"/>
      <c r="L42" s="5"/>
      <c r="M42" s="5"/>
      <c r="N42" s="5"/>
      <c r="O42" s="6"/>
    </row>
    <row r="43" spans="2:15" ht="19.95" customHeight="1" thickBot="1" x14ac:dyDescent="0.35">
      <c r="B43" s="7"/>
      <c r="C43" s="8"/>
      <c r="D43" s="8"/>
      <c r="E43" s="8"/>
      <c r="F43" s="8"/>
      <c r="G43" s="8"/>
      <c r="H43" s="8"/>
      <c r="I43" s="8"/>
      <c r="J43" s="8"/>
      <c r="K43" s="8"/>
      <c r="L43" s="8"/>
      <c r="M43" s="8"/>
      <c r="N43" s="8"/>
      <c r="O43" s="9"/>
    </row>
  </sheetData>
  <mergeCells count="27">
    <mergeCell ref="C27:C28"/>
    <mergeCell ref="D27:D28"/>
    <mergeCell ref="E27:E28"/>
    <mergeCell ref="F27:F28"/>
    <mergeCell ref="M27:M28"/>
    <mergeCell ref="G19:H19"/>
    <mergeCell ref="G9:H9"/>
    <mergeCell ref="G39:M39"/>
    <mergeCell ref="G40:M40"/>
    <mergeCell ref="G35:M35"/>
    <mergeCell ref="G36:M36"/>
    <mergeCell ref="G31:M31"/>
    <mergeCell ref="G32:M32"/>
    <mergeCell ref="G22:M22"/>
    <mergeCell ref="G23:M23"/>
    <mergeCell ref="D7:E7"/>
    <mergeCell ref="C11:D11"/>
    <mergeCell ref="F2:K3"/>
    <mergeCell ref="F11:G11"/>
    <mergeCell ref="J16:K16"/>
    <mergeCell ref="J11:K11"/>
    <mergeCell ref="J6:K6"/>
    <mergeCell ref="D19:E19"/>
    <mergeCell ref="D18:E18"/>
    <mergeCell ref="D17:E17"/>
    <mergeCell ref="D9:E9"/>
    <mergeCell ref="D8:E8"/>
  </mergeCells>
  <dataValidations count="2">
    <dataValidation type="list" allowBlank="1" showInputMessage="1" showErrorMessage="1" sqref="H27:H29" xr:uid="{6A152E03-42C9-E044-ACA9-9033E3F36ECF}">
      <formula1>$BA$4:$BA$18</formula1>
    </dataValidation>
    <dataValidation type="list" allowBlank="1" showInputMessage="1" showErrorMessage="1" sqref="G27:G29" xr:uid="{3F8F98EC-B30A-FC4D-AA95-BD80E61B6F75}">
      <formula1>$BB$4:$BB$5</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FC_Page1">
              <controlPr defaultSize="0" print="0" autoFill="0" autoPict="0" macro="[1]!FC_Page1">
                <anchor moveWithCells="1" sizeWithCells="1">
                  <from>
                    <xdr:col>6</xdr:col>
                    <xdr:colOff>152400</xdr:colOff>
                    <xdr:row>42</xdr:row>
                    <xdr:rowOff>15240</xdr:rowOff>
                  </from>
                  <to>
                    <xdr:col>7</xdr:col>
                    <xdr:colOff>472440</xdr:colOff>
                    <xdr:row>42</xdr:row>
                    <xdr:rowOff>205740</xdr:rowOff>
                  </to>
                </anchor>
              </controlPr>
            </control>
          </mc:Choice>
        </mc:AlternateContent>
        <mc:AlternateContent xmlns:mc="http://schemas.openxmlformats.org/markup-compatibility/2006">
          <mc:Choice Requires="x14">
            <control shapeId="1026" r:id="rId4" name="FC_Page2">
              <controlPr defaultSize="0" print="0" autoFill="0" autoPict="0" macro="[1]!FC_Page2">
                <anchor moveWithCells="1" sizeWithCells="1">
                  <from>
                    <xdr:col>7</xdr:col>
                    <xdr:colOff>594360</xdr:colOff>
                    <xdr:row>42</xdr:row>
                    <xdr:rowOff>15240</xdr:rowOff>
                  </from>
                  <to>
                    <xdr:col>9</xdr:col>
                    <xdr:colOff>91440</xdr:colOff>
                    <xdr:row>42</xdr:row>
                    <xdr:rowOff>205740</xdr:rowOff>
                  </to>
                </anchor>
              </controlPr>
            </control>
          </mc:Choice>
        </mc:AlternateContent>
        <mc:AlternateContent xmlns:mc="http://schemas.openxmlformats.org/markup-compatibility/2006">
          <mc:Choice Requires="x14">
            <control shapeId="1027" r:id="rId5" name="FC_Page3">
              <controlPr defaultSize="0" print="0" autoFill="0" autoPict="0" macro="[1]!FC_Page3">
                <anchor moveWithCells="1" sizeWithCells="1">
                  <from>
                    <xdr:col>9</xdr:col>
                    <xdr:colOff>213360</xdr:colOff>
                    <xdr:row>42</xdr:row>
                    <xdr:rowOff>15240</xdr:rowOff>
                  </from>
                  <to>
                    <xdr:col>10</xdr:col>
                    <xdr:colOff>304800</xdr:colOff>
                    <xdr:row>42</xdr:row>
                    <xdr:rowOff>205740</xdr:rowOff>
                  </to>
                </anchor>
              </controlPr>
            </control>
          </mc:Choice>
        </mc:AlternateContent>
        <mc:AlternateContent xmlns:mc="http://schemas.openxmlformats.org/markup-compatibility/2006">
          <mc:Choice Requires="x14">
            <control shapeId="1028" r:id="rId6" name="G_Plein_Ecran">
              <controlPr defaultSize="0" print="0" autoFill="0" autoPict="0" macro="[1]!G_Plein_Ecran">
                <anchor moveWithCells="1" sizeWithCells="1">
                  <from>
                    <xdr:col>1</xdr:col>
                    <xdr:colOff>99060</xdr:colOff>
                    <xdr:row>1</xdr:row>
                    <xdr:rowOff>60960</xdr:rowOff>
                  </from>
                  <to>
                    <xdr:col>1</xdr:col>
                    <xdr:colOff>739140</xdr:colOff>
                    <xdr:row>3</xdr:row>
                    <xdr:rowOff>76200</xdr:rowOff>
                  </to>
                </anchor>
              </controlPr>
            </control>
          </mc:Choice>
        </mc:AlternateContent>
        <mc:AlternateContent xmlns:mc="http://schemas.openxmlformats.org/markup-compatibility/2006">
          <mc:Choice Requires="x14">
            <control shapeId="1029" r:id="rId7" name="G_Fenetre">
              <controlPr defaultSize="0" print="0" autoFill="0" autoPict="0" macro="[1]!G_Fenetre">
                <anchor moveWithCells="1" sizeWithCells="1">
                  <from>
                    <xdr:col>1</xdr:col>
                    <xdr:colOff>99060</xdr:colOff>
                    <xdr:row>3</xdr:row>
                    <xdr:rowOff>137160</xdr:rowOff>
                  </from>
                  <to>
                    <xdr:col>1</xdr:col>
                    <xdr:colOff>739140</xdr:colOff>
                    <xdr:row>4</xdr:row>
                    <xdr:rowOff>175260</xdr:rowOff>
                  </to>
                </anchor>
              </controlPr>
            </control>
          </mc:Choice>
        </mc:AlternateContent>
        <mc:AlternateContent xmlns:mc="http://schemas.openxmlformats.org/markup-compatibility/2006">
          <mc:Choice Requires="x14">
            <control shapeId="1030" r:id="rId8" name="FC_Update">
              <controlPr defaultSize="0" print="0" autoFill="0" autoPict="0" macro="[1]!FC_Update">
                <anchor moveWithCells="1" sizeWithCells="1">
                  <from>
                    <xdr:col>6</xdr:col>
                    <xdr:colOff>533400</xdr:colOff>
                    <xdr:row>3</xdr:row>
                    <xdr:rowOff>53340</xdr:rowOff>
                  </from>
                  <to>
                    <xdr:col>8</xdr:col>
                    <xdr:colOff>152400</xdr:colOff>
                    <xdr:row>4</xdr:row>
                    <xdr:rowOff>22860</xdr:rowOff>
                  </to>
                </anchor>
              </controlPr>
            </control>
          </mc:Choice>
        </mc:AlternateContent>
        <mc:AlternateContent xmlns:mc="http://schemas.openxmlformats.org/markup-compatibility/2006">
          <mc:Choice Requires="x14">
            <control shapeId="1031" r:id="rId9" name="FC_Enregistrer">
              <controlPr defaultSize="0" print="0" autoFill="0" autoPict="0" macro="[1]!FC_Enregistrer">
                <anchor moveWithCells="1" sizeWithCells="1">
                  <from>
                    <xdr:col>8</xdr:col>
                    <xdr:colOff>213360</xdr:colOff>
                    <xdr:row>3</xdr:row>
                    <xdr:rowOff>53340</xdr:rowOff>
                  </from>
                  <to>
                    <xdr:col>9</xdr:col>
                    <xdr:colOff>662940</xdr:colOff>
                    <xdr:row>4</xdr:row>
                    <xdr:rowOff>22860</xdr:rowOff>
                  </to>
                </anchor>
              </controlPr>
            </control>
          </mc:Choice>
        </mc:AlternateContent>
        <mc:AlternateContent xmlns:mc="http://schemas.openxmlformats.org/markup-compatibility/2006">
          <mc:Choice Requires="x14">
            <control shapeId="1032" r:id="rId10" name="FC_RDV">
              <controlPr defaultSize="0" print="0" autoFill="0" autoPict="0" macro="[1]!FC_RDV">
                <anchor moveWithCells="1" sizeWithCells="1">
                  <from>
                    <xdr:col>13</xdr:col>
                    <xdr:colOff>137160</xdr:colOff>
                    <xdr:row>6</xdr:row>
                    <xdr:rowOff>38100</xdr:rowOff>
                  </from>
                  <to>
                    <xdr:col>14</xdr:col>
                    <xdr:colOff>586740</xdr:colOff>
                    <xdr:row>7</xdr:row>
                    <xdr:rowOff>91440</xdr:rowOff>
                  </to>
                </anchor>
              </controlPr>
            </control>
          </mc:Choice>
        </mc:AlternateContent>
        <mc:AlternateContent xmlns:mc="http://schemas.openxmlformats.org/markup-compatibility/2006">
          <mc:Choice Requires="x14">
            <control shapeId="1033" r:id="rId11" name="FC_Activite">
              <controlPr defaultSize="0" print="0" autoFill="0" autoPict="0" macro="[1]!FC_Activite">
                <anchor moveWithCells="1" sizeWithCells="1">
                  <from>
                    <xdr:col>13</xdr:col>
                    <xdr:colOff>137160</xdr:colOff>
                    <xdr:row>8</xdr:row>
                    <xdr:rowOff>137160</xdr:rowOff>
                  </from>
                  <to>
                    <xdr:col>14</xdr:col>
                    <xdr:colOff>586740</xdr:colOff>
                    <xdr:row>9</xdr:row>
                    <xdr:rowOff>175260</xdr:rowOff>
                  </to>
                </anchor>
              </controlPr>
            </control>
          </mc:Choice>
        </mc:AlternateContent>
        <mc:AlternateContent xmlns:mc="http://schemas.openxmlformats.org/markup-compatibility/2006">
          <mc:Choice Requires="x14">
            <control shapeId="1034" r:id="rId12" name="FC_Suivi">
              <controlPr defaultSize="0" print="0" autoFill="0" autoPict="0" macro="[1]!FC_Suivi">
                <anchor moveWithCells="1" sizeWithCells="1">
                  <from>
                    <xdr:col>13</xdr:col>
                    <xdr:colOff>137160</xdr:colOff>
                    <xdr:row>10</xdr:row>
                    <xdr:rowOff>91440</xdr:rowOff>
                  </from>
                  <to>
                    <xdr:col>14</xdr:col>
                    <xdr:colOff>586740</xdr:colOff>
                    <xdr:row>11</xdr:row>
                    <xdr:rowOff>129540</xdr:rowOff>
                  </to>
                </anchor>
              </controlPr>
            </control>
          </mc:Choice>
        </mc:AlternateContent>
        <mc:AlternateContent xmlns:mc="http://schemas.openxmlformats.org/markup-compatibility/2006">
          <mc:Choice Requires="x14">
            <control shapeId="1035" r:id="rId13" name="FC_Mail">
              <controlPr defaultSize="0" print="0" autoFill="0" autoPict="0" macro="[1]!FC_Mail">
                <anchor moveWithCells="1" sizeWithCells="1">
                  <from>
                    <xdr:col>13</xdr:col>
                    <xdr:colOff>137160</xdr:colOff>
                    <xdr:row>12</xdr:row>
                    <xdr:rowOff>53340</xdr:rowOff>
                  </from>
                  <to>
                    <xdr:col>14</xdr:col>
                    <xdr:colOff>586740</xdr:colOff>
                    <xdr:row>13</xdr:row>
                    <xdr:rowOff>99060</xdr:rowOff>
                  </to>
                </anchor>
              </controlPr>
            </control>
          </mc:Choice>
        </mc:AlternateContent>
        <mc:AlternateContent xmlns:mc="http://schemas.openxmlformats.org/markup-compatibility/2006">
          <mc:Choice Requires="x14">
            <control shapeId="1036" r:id="rId14" name="FC_CR">
              <controlPr defaultSize="0" print="0" autoFill="0" autoPict="0" macro="[1]!FC_CR">
                <anchor moveWithCells="1" sizeWithCells="1">
                  <from>
                    <xdr:col>13</xdr:col>
                    <xdr:colOff>137160</xdr:colOff>
                    <xdr:row>14</xdr:row>
                    <xdr:rowOff>15240</xdr:rowOff>
                  </from>
                  <to>
                    <xdr:col>14</xdr:col>
                    <xdr:colOff>586740</xdr:colOff>
                    <xdr:row>15</xdr:row>
                    <xdr:rowOff>53340</xdr:rowOff>
                  </to>
                </anchor>
              </controlPr>
            </control>
          </mc:Choice>
        </mc:AlternateContent>
        <mc:AlternateContent xmlns:mc="http://schemas.openxmlformats.org/markup-compatibility/2006">
          <mc:Choice Requires="x14">
            <control shapeId="1037" r:id="rId15" name="FC_Affaire">
              <controlPr defaultSize="0" print="0" autoFill="0" autoPict="0" macro="[1]!FC_Affaire">
                <anchor moveWithCells="1" sizeWithCells="1">
                  <from>
                    <xdr:col>13</xdr:col>
                    <xdr:colOff>137160</xdr:colOff>
                    <xdr:row>15</xdr:row>
                    <xdr:rowOff>175260</xdr:rowOff>
                  </from>
                  <to>
                    <xdr:col>14</xdr:col>
                    <xdr:colOff>586740</xdr:colOff>
                    <xdr:row>17</xdr:row>
                    <xdr:rowOff>15240</xdr:rowOff>
                  </to>
                </anchor>
              </controlPr>
            </control>
          </mc:Choice>
        </mc:AlternateContent>
        <mc:AlternateContent xmlns:mc="http://schemas.openxmlformats.org/markup-compatibility/2006">
          <mc:Choice Requires="x14">
            <control shapeId="1038" r:id="rId16" name="FC_Docs">
              <controlPr defaultSize="0" print="0" autoFill="0" autoPict="0" macro="[1]!FC_Docs">
                <anchor moveWithCells="1" sizeWithCells="1">
                  <from>
                    <xdr:col>13</xdr:col>
                    <xdr:colOff>137160</xdr:colOff>
                    <xdr:row>17</xdr:row>
                    <xdr:rowOff>137160</xdr:rowOff>
                  </from>
                  <to>
                    <xdr:col>14</xdr:col>
                    <xdr:colOff>586740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85B75-8A9D-5245-854F-5AB0A556B2BB}">
  <sheetPr codeName="Feuil2"/>
  <dimension ref="B1:BA31"/>
  <sheetViews>
    <sheetView showGridLines="0" topLeftCell="A12" zoomScale="119" zoomScaleNormal="119" workbookViewId="0">
      <selection activeCell="C4" sqref="C4:D4"/>
    </sheetView>
  </sheetViews>
  <sheetFormatPr baseColWidth="10" defaultRowHeight="15.6" x14ac:dyDescent="0.3"/>
  <cols>
    <col min="1" max="1" width="5.796875" customWidth="1"/>
    <col min="7" max="7" width="11.796875" customWidth="1"/>
    <col min="14" max="14" width="11.796875" customWidth="1"/>
    <col min="17" max="17" width="5.796875" customWidth="1"/>
  </cols>
  <sheetData>
    <row r="1" spans="2:53" ht="16.2" thickBot="1" x14ac:dyDescent="0.35">
      <c r="AA1" t="s">
        <v>42</v>
      </c>
      <c r="BA1" t="s">
        <v>52</v>
      </c>
    </row>
    <row r="2" spans="2:53" x14ac:dyDescent="0.3">
      <c r="B2" s="1"/>
      <c r="C2" s="2"/>
      <c r="D2" s="2"/>
      <c r="E2" s="2"/>
      <c r="F2" s="64" t="s">
        <v>39</v>
      </c>
      <c r="G2" s="65"/>
      <c r="H2" s="65"/>
      <c r="I2" s="65"/>
      <c r="J2" s="65"/>
      <c r="K2" s="65"/>
      <c r="L2" s="66"/>
      <c r="M2" s="2"/>
      <c r="N2" s="2"/>
      <c r="O2" s="2"/>
      <c r="P2" s="3"/>
      <c r="AA2" t="s">
        <v>74</v>
      </c>
      <c r="BA2" t="s">
        <v>77</v>
      </c>
    </row>
    <row r="3" spans="2:53" ht="16.2" thickBot="1" x14ac:dyDescent="0.35">
      <c r="B3" s="4"/>
      <c r="C3" s="5"/>
      <c r="D3" s="5"/>
      <c r="E3" s="5"/>
      <c r="F3" s="67"/>
      <c r="G3" s="68"/>
      <c r="H3" s="68"/>
      <c r="I3" s="68"/>
      <c r="J3" s="68"/>
      <c r="K3" s="68"/>
      <c r="L3" s="69"/>
      <c r="M3" s="5"/>
      <c r="N3" s="5"/>
      <c r="O3" s="5"/>
      <c r="P3" s="6"/>
      <c r="AA3" t="s">
        <v>75</v>
      </c>
      <c r="BA3" t="s">
        <v>78</v>
      </c>
    </row>
    <row r="4" spans="2:53" ht="16.2" thickBot="1" x14ac:dyDescent="0.35">
      <c r="B4" s="4"/>
      <c r="C4" s="62" t="s">
        <v>40</v>
      </c>
      <c r="D4" s="63"/>
      <c r="E4" s="5"/>
      <c r="F4" s="5"/>
      <c r="G4" s="5"/>
      <c r="H4" s="5"/>
      <c r="I4" s="5"/>
      <c r="J4" s="5"/>
      <c r="K4" s="5"/>
      <c r="L4" s="5"/>
      <c r="M4" s="5"/>
      <c r="N4" s="5"/>
      <c r="O4" s="5"/>
      <c r="P4" s="6"/>
      <c r="AA4" t="s">
        <v>76</v>
      </c>
    </row>
    <row r="5" spans="2:53" x14ac:dyDescent="0.3">
      <c r="B5" s="4"/>
      <c r="C5" s="33" t="s">
        <v>41</v>
      </c>
      <c r="D5" s="34" t="s">
        <v>42</v>
      </c>
      <c r="E5" s="74" t="s">
        <v>43</v>
      </c>
      <c r="F5" s="74"/>
      <c r="G5" s="34" t="s">
        <v>44</v>
      </c>
      <c r="H5" s="34" t="s">
        <v>45</v>
      </c>
      <c r="I5" s="34" t="s">
        <v>46</v>
      </c>
      <c r="J5" s="34" t="s">
        <v>47</v>
      </c>
      <c r="K5" s="34" t="s">
        <v>48</v>
      </c>
      <c r="L5" s="74" t="s">
        <v>49</v>
      </c>
      <c r="M5" s="74"/>
      <c r="N5" s="74" t="s">
        <v>50</v>
      </c>
      <c r="O5" s="87"/>
      <c r="P5" s="6"/>
    </row>
    <row r="6" spans="2:53" ht="16.2" thickBot="1" x14ac:dyDescent="0.35">
      <c r="B6" s="4"/>
      <c r="C6" s="35">
        <v>75</v>
      </c>
      <c r="D6" s="36" t="s">
        <v>75</v>
      </c>
      <c r="E6" s="90"/>
      <c r="F6" s="90"/>
      <c r="G6" s="42"/>
      <c r="H6" s="42"/>
      <c r="I6" s="36"/>
      <c r="J6" s="36"/>
      <c r="K6" s="36">
        <v>0</v>
      </c>
      <c r="L6" s="90">
        <v>700</v>
      </c>
      <c r="M6" s="83"/>
      <c r="N6" s="86">
        <v>1</v>
      </c>
      <c r="O6" s="93"/>
      <c r="P6" s="6"/>
    </row>
    <row r="7" spans="2:53" ht="16.2" thickBot="1" x14ac:dyDescent="0.35">
      <c r="B7" s="4"/>
      <c r="C7" s="5"/>
      <c r="D7" s="5"/>
      <c r="E7" s="5"/>
      <c r="F7" s="5"/>
      <c r="G7" s="5"/>
      <c r="H7" s="5"/>
      <c r="I7" s="5"/>
      <c r="J7" s="5"/>
      <c r="K7" s="5"/>
      <c r="L7" s="5"/>
      <c r="M7" s="5"/>
      <c r="N7" s="5"/>
      <c r="O7" s="5"/>
      <c r="P7" s="6"/>
    </row>
    <row r="8" spans="2:53" ht="16.2" thickBot="1" x14ac:dyDescent="0.35">
      <c r="B8" s="4"/>
      <c r="C8" s="62" t="s">
        <v>51</v>
      </c>
      <c r="D8" s="63"/>
      <c r="E8" s="5"/>
      <c r="F8" s="5"/>
      <c r="G8" s="5"/>
      <c r="H8" s="5"/>
      <c r="I8" s="5"/>
      <c r="J8" s="5"/>
      <c r="K8" s="5"/>
      <c r="L8" s="5"/>
      <c r="M8" s="5"/>
      <c r="N8" s="5"/>
      <c r="O8" s="5"/>
      <c r="P8" s="6"/>
    </row>
    <row r="9" spans="2:53" x14ac:dyDescent="0.3">
      <c r="B9" s="4"/>
      <c r="C9" s="33" t="s">
        <v>52</v>
      </c>
      <c r="D9" s="34" t="s">
        <v>53</v>
      </c>
      <c r="E9" s="34" t="s">
        <v>54</v>
      </c>
      <c r="F9" s="34" t="s">
        <v>43</v>
      </c>
      <c r="G9" s="34" t="s">
        <v>44</v>
      </c>
      <c r="H9" s="34" t="s">
        <v>45</v>
      </c>
      <c r="I9" s="34" t="s">
        <v>46</v>
      </c>
      <c r="J9" s="34" t="s">
        <v>47</v>
      </c>
      <c r="K9" s="34" t="s">
        <v>48</v>
      </c>
      <c r="L9" s="34" t="s">
        <v>55</v>
      </c>
      <c r="M9" s="34" t="s">
        <v>56</v>
      </c>
      <c r="N9" s="34" t="s">
        <v>57</v>
      </c>
      <c r="O9" s="37" t="s">
        <v>58</v>
      </c>
      <c r="P9" s="6"/>
    </row>
    <row r="10" spans="2:53" x14ac:dyDescent="0.3">
      <c r="B10" s="4"/>
      <c r="C10" s="38"/>
      <c r="D10" s="39"/>
      <c r="E10" s="39"/>
      <c r="F10" s="43"/>
      <c r="G10" s="43"/>
      <c r="H10" s="43"/>
      <c r="I10" s="39"/>
      <c r="J10" s="39"/>
      <c r="K10" s="39">
        <v>0</v>
      </c>
      <c r="L10" s="43"/>
      <c r="M10" s="43"/>
      <c r="N10" s="45"/>
      <c r="O10" s="46"/>
      <c r="P10" s="6"/>
    </row>
    <row r="11" spans="2:53" x14ac:dyDescent="0.3">
      <c r="B11" s="4"/>
      <c r="C11" s="38"/>
      <c r="D11" s="39"/>
      <c r="E11" s="39"/>
      <c r="F11" s="43"/>
      <c r="G11" s="43"/>
      <c r="H11" s="43"/>
      <c r="I11" s="39"/>
      <c r="J11" s="39"/>
      <c r="K11" s="39">
        <v>0</v>
      </c>
      <c r="L11" s="43"/>
      <c r="M11" s="43"/>
      <c r="N11" s="45"/>
      <c r="O11" s="46"/>
      <c r="P11" s="6"/>
    </row>
    <row r="12" spans="2:53" x14ac:dyDescent="0.3">
      <c r="B12" s="4"/>
      <c r="C12" s="38"/>
      <c r="D12" s="39"/>
      <c r="E12" s="39"/>
      <c r="F12" s="43"/>
      <c r="G12" s="43"/>
      <c r="H12" s="43"/>
      <c r="I12" s="39"/>
      <c r="J12" s="39"/>
      <c r="K12" s="39">
        <v>0</v>
      </c>
      <c r="L12" s="43"/>
      <c r="M12" s="43"/>
      <c r="N12" s="45"/>
      <c r="O12" s="46"/>
      <c r="P12" s="6"/>
    </row>
    <row r="13" spans="2:53" x14ac:dyDescent="0.3">
      <c r="B13" s="4"/>
      <c r="C13" s="38"/>
      <c r="D13" s="39"/>
      <c r="E13" s="39"/>
      <c r="F13" s="43"/>
      <c r="G13" s="43"/>
      <c r="H13" s="43"/>
      <c r="I13" s="39"/>
      <c r="J13" s="39"/>
      <c r="K13" s="39">
        <v>0</v>
      </c>
      <c r="L13" s="43"/>
      <c r="M13" s="43"/>
      <c r="N13" s="45"/>
      <c r="O13" s="46"/>
      <c r="P13" s="6"/>
    </row>
    <row r="14" spans="2:53" x14ac:dyDescent="0.3">
      <c r="B14" s="4"/>
      <c r="C14" s="38"/>
      <c r="D14" s="39"/>
      <c r="E14" s="39"/>
      <c r="F14" s="43"/>
      <c r="G14" s="43"/>
      <c r="H14" s="43"/>
      <c r="I14" s="39"/>
      <c r="J14" s="39"/>
      <c r="K14" s="39">
        <v>0</v>
      </c>
      <c r="L14" s="43"/>
      <c r="M14" s="43"/>
      <c r="N14" s="45"/>
      <c r="O14" s="46"/>
      <c r="P14" s="6"/>
    </row>
    <row r="15" spans="2:53" ht="16.2" thickBot="1" x14ac:dyDescent="0.35">
      <c r="B15" s="4"/>
      <c r="C15" s="35"/>
      <c r="D15" s="36"/>
      <c r="E15" s="36"/>
      <c r="F15" s="42"/>
      <c r="G15" s="42"/>
      <c r="H15" s="42"/>
      <c r="I15" s="36"/>
      <c r="J15" s="36"/>
      <c r="K15" s="36">
        <v>0</v>
      </c>
      <c r="L15" s="42"/>
      <c r="M15" s="42"/>
      <c r="N15" s="47"/>
      <c r="O15" s="48"/>
      <c r="P15" s="6"/>
    </row>
    <row r="16" spans="2:53" ht="16.2" thickBot="1" x14ac:dyDescent="0.35">
      <c r="B16" s="4"/>
      <c r="C16" s="5"/>
      <c r="D16" s="5"/>
      <c r="E16" s="5"/>
      <c r="F16" s="5"/>
      <c r="G16" s="5"/>
      <c r="H16" s="5"/>
      <c r="I16" s="5"/>
      <c r="J16" s="5"/>
      <c r="K16" s="5"/>
      <c r="L16" s="5"/>
      <c r="M16" s="5"/>
      <c r="N16" s="5"/>
      <c r="O16" s="5"/>
      <c r="P16" s="6"/>
    </row>
    <row r="17" spans="2:16" ht="16.2" thickBot="1" x14ac:dyDescent="0.35">
      <c r="B17" s="4"/>
      <c r="C17" s="24" t="s">
        <v>59</v>
      </c>
      <c r="D17" s="5"/>
      <c r="E17" s="5"/>
      <c r="F17" s="5"/>
      <c r="G17" s="5"/>
      <c r="H17" s="5"/>
      <c r="I17" s="5"/>
      <c r="J17" s="5"/>
      <c r="K17" s="62" t="s">
        <v>67</v>
      </c>
      <c r="L17" s="63"/>
      <c r="M17" s="5"/>
      <c r="N17" s="5"/>
      <c r="O17" s="5"/>
      <c r="P17" s="6"/>
    </row>
    <row r="18" spans="2:16" x14ac:dyDescent="0.3">
      <c r="B18" s="4"/>
      <c r="C18" s="33" t="s">
        <v>60</v>
      </c>
      <c r="D18" s="34" t="s">
        <v>61</v>
      </c>
      <c r="E18" s="34" t="s">
        <v>45</v>
      </c>
      <c r="F18" s="34" t="s">
        <v>46</v>
      </c>
      <c r="G18" s="34" t="s">
        <v>47</v>
      </c>
      <c r="H18" s="34" t="s">
        <v>48</v>
      </c>
      <c r="I18" s="37" t="s">
        <v>55</v>
      </c>
      <c r="J18" s="5"/>
      <c r="K18" s="33" t="s">
        <v>54</v>
      </c>
      <c r="L18" s="34" t="s">
        <v>61</v>
      </c>
      <c r="M18" s="34" t="s">
        <v>55</v>
      </c>
      <c r="N18" s="34" t="s">
        <v>68</v>
      </c>
      <c r="O18" s="37" t="s">
        <v>57</v>
      </c>
      <c r="P18" s="6"/>
    </row>
    <row r="19" spans="2:16" x14ac:dyDescent="0.3">
      <c r="B19" s="4"/>
      <c r="C19" s="38" t="s">
        <v>104</v>
      </c>
      <c r="D19" s="43"/>
      <c r="E19" s="43"/>
      <c r="F19" s="39"/>
      <c r="G19" s="39"/>
      <c r="H19" s="39">
        <v>0</v>
      </c>
      <c r="I19" s="40">
        <v>350</v>
      </c>
      <c r="J19" s="5"/>
      <c r="K19" s="38"/>
      <c r="L19" s="43"/>
      <c r="M19" s="43"/>
      <c r="N19" s="43"/>
      <c r="O19" s="46"/>
      <c r="P19" s="6"/>
    </row>
    <row r="20" spans="2:16" x14ac:dyDescent="0.3">
      <c r="B20" s="4"/>
      <c r="C20" s="38"/>
      <c r="D20" s="43"/>
      <c r="E20" s="43"/>
      <c r="F20" s="39"/>
      <c r="G20" s="39"/>
      <c r="H20" s="39">
        <v>0</v>
      </c>
      <c r="I20" s="40"/>
      <c r="J20" s="5"/>
      <c r="K20" s="38"/>
      <c r="L20" s="43"/>
      <c r="M20" s="43"/>
      <c r="N20" s="43"/>
      <c r="O20" s="46"/>
      <c r="P20" s="6"/>
    </row>
    <row r="21" spans="2:16" ht="16.2" thickBot="1" x14ac:dyDescent="0.35">
      <c r="B21" s="4"/>
      <c r="C21" s="35"/>
      <c r="D21" s="42"/>
      <c r="E21" s="42"/>
      <c r="F21" s="36"/>
      <c r="G21" s="36"/>
      <c r="H21" s="36">
        <v>0</v>
      </c>
      <c r="I21" s="41"/>
      <c r="J21" s="5"/>
      <c r="K21" s="35"/>
      <c r="L21" s="42"/>
      <c r="M21" s="42"/>
      <c r="N21" s="42"/>
      <c r="O21" s="48"/>
      <c r="P21" s="6"/>
    </row>
    <row r="22" spans="2:16" ht="16.2" thickBot="1" x14ac:dyDescent="0.35">
      <c r="B22" s="4"/>
      <c r="C22" s="5"/>
      <c r="D22" s="5"/>
      <c r="E22" s="5"/>
      <c r="F22" s="5"/>
      <c r="G22" s="5"/>
      <c r="H22" s="5"/>
      <c r="I22" s="5"/>
      <c r="J22" s="5"/>
      <c r="K22" s="5"/>
      <c r="L22" s="5"/>
      <c r="M22" s="5"/>
      <c r="N22" s="5"/>
      <c r="O22" s="5"/>
      <c r="P22" s="6"/>
    </row>
    <row r="23" spans="2:16" ht="16.2" thickBot="1" x14ac:dyDescent="0.35">
      <c r="B23" s="4"/>
      <c r="C23" s="62" t="s">
        <v>62</v>
      </c>
      <c r="D23" s="92"/>
      <c r="E23" s="63"/>
      <c r="F23" s="5"/>
      <c r="G23" s="5"/>
      <c r="H23" s="5"/>
      <c r="I23" s="5"/>
      <c r="J23" s="62" t="s">
        <v>69</v>
      </c>
      <c r="K23" s="92"/>
      <c r="L23" s="63"/>
      <c r="M23" s="5"/>
      <c r="N23" s="5"/>
      <c r="O23" s="5"/>
      <c r="P23" s="6"/>
    </row>
    <row r="24" spans="2:16" x14ac:dyDescent="0.3">
      <c r="B24" s="4"/>
      <c r="C24" s="91" t="s">
        <v>63</v>
      </c>
      <c r="D24" s="74"/>
      <c r="E24" s="74" t="s">
        <v>64</v>
      </c>
      <c r="F24" s="74"/>
      <c r="G24" s="34" t="s">
        <v>65</v>
      </c>
      <c r="H24" s="37" t="s">
        <v>66</v>
      </c>
      <c r="I24" s="5"/>
      <c r="J24" s="91" t="s">
        <v>63</v>
      </c>
      <c r="K24" s="74"/>
      <c r="L24" s="74" t="s">
        <v>64</v>
      </c>
      <c r="M24" s="74"/>
      <c r="N24" s="34" t="s">
        <v>65</v>
      </c>
      <c r="O24" s="37" t="s">
        <v>66</v>
      </c>
      <c r="P24" s="6"/>
    </row>
    <row r="25" spans="2:16" ht="16.2" thickBot="1" x14ac:dyDescent="0.35">
      <c r="B25" s="4"/>
      <c r="C25" s="89">
        <v>0</v>
      </c>
      <c r="D25" s="90"/>
      <c r="E25" s="90">
        <v>0</v>
      </c>
      <c r="F25" s="90"/>
      <c r="G25" s="42">
        <v>0</v>
      </c>
      <c r="H25" s="44">
        <v>1050</v>
      </c>
      <c r="I25" s="5"/>
      <c r="J25" s="89">
        <v>0</v>
      </c>
      <c r="K25" s="90"/>
      <c r="L25" s="90">
        <v>0</v>
      </c>
      <c r="M25" s="90"/>
      <c r="N25" s="42">
        <v>0</v>
      </c>
      <c r="O25" s="44">
        <v>0</v>
      </c>
      <c r="P25" s="6"/>
    </row>
    <row r="26" spans="2:16" ht="16.2" thickBot="1" x14ac:dyDescent="0.35">
      <c r="B26" s="4"/>
      <c r="C26" s="5"/>
      <c r="D26" s="5"/>
      <c r="E26" s="5"/>
      <c r="F26" s="5"/>
      <c r="G26" s="5"/>
      <c r="H26" s="5"/>
      <c r="I26" s="5"/>
      <c r="J26" s="5"/>
      <c r="K26" s="5"/>
      <c r="L26" s="5"/>
      <c r="M26" s="5"/>
      <c r="N26" s="5"/>
      <c r="O26" s="5"/>
      <c r="P26" s="6"/>
    </row>
    <row r="27" spans="2:16" ht="16.2" thickBot="1" x14ac:dyDescent="0.35">
      <c r="B27" s="4"/>
      <c r="C27" s="62" t="s">
        <v>70</v>
      </c>
      <c r="D27" s="92"/>
      <c r="E27" s="63"/>
      <c r="F27" s="5"/>
      <c r="G27" s="5"/>
      <c r="H27" s="5"/>
      <c r="I27" s="5"/>
      <c r="J27" s="5"/>
      <c r="K27" s="5"/>
      <c r="L27" s="5"/>
      <c r="M27" s="5"/>
      <c r="N27" s="5"/>
      <c r="O27" s="5"/>
      <c r="P27" s="6"/>
    </row>
    <row r="28" spans="2:16" x14ac:dyDescent="0.3">
      <c r="B28" s="4"/>
      <c r="C28" s="91" t="s">
        <v>63</v>
      </c>
      <c r="D28" s="74"/>
      <c r="E28" s="74" t="s">
        <v>64</v>
      </c>
      <c r="F28" s="74"/>
      <c r="G28" s="74" t="s">
        <v>71</v>
      </c>
      <c r="H28" s="74"/>
      <c r="I28" s="74" t="s">
        <v>66</v>
      </c>
      <c r="J28" s="74"/>
      <c r="K28" s="74" t="s">
        <v>72</v>
      </c>
      <c r="L28" s="74"/>
      <c r="M28" s="74" t="s">
        <v>73</v>
      </c>
      <c r="N28" s="87"/>
      <c r="O28" s="5"/>
      <c r="P28" s="6"/>
    </row>
    <row r="29" spans="2:16" ht="16.2" thickBot="1" x14ac:dyDescent="0.35">
      <c r="B29" s="4"/>
      <c r="C29" s="89">
        <v>0</v>
      </c>
      <c r="D29" s="90"/>
      <c r="E29" s="90">
        <v>0</v>
      </c>
      <c r="F29" s="90"/>
      <c r="G29" s="90">
        <v>0</v>
      </c>
      <c r="H29" s="90"/>
      <c r="I29" s="90">
        <v>1050</v>
      </c>
      <c r="J29" s="90"/>
      <c r="K29" s="86">
        <v>0.40909090909090912</v>
      </c>
      <c r="L29" s="86"/>
      <c r="M29" s="86">
        <v>0</v>
      </c>
      <c r="N29" s="88"/>
      <c r="O29" s="5"/>
      <c r="P29" s="6"/>
    </row>
    <row r="30" spans="2:16" x14ac:dyDescent="0.3">
      <c r="B30" s="4"/>
      <c r="C30" s="5"/>
      <c r="D30" s="5"/>
      <c r="E30" s="5"/>
      <c r="F30" s="5"/>
      <c r="G30" s="5"/>
      <c r="H30" s="5"/>
      <c r="I30" s="5"/>
      <c r="J30" s="5"/>
      <c r="K30" s="5"/>
      <c r="L30" s="5"/>
      <c r="M30" s="5"/>
      <c r="N30" s="5"/>
      <c r="O30" s="5"/>
      <c r="P30" s="6"/>
    </row>
    <row r="31" spans="2:16" ht="16.2" thickBot="1" x14ac:dyDescent="0.35">
      <c r="B31" s="7"/>
      <c r="C31" s="8"/>
      <c r="D31" s="8"/>
      <c r="E31" s="8"/>
      <c r="F31" s="8"/>
      <c r="G31" s="8"/>
      <c r="H31" s="8"/>
      <c r="I31" s="8"/>
      <c r="J31" s="8"/>
      <c r="K31" s="8"/>
      <c r="L31" s="8"/>
      <c r="M31" s="8"/>
      <c r="N31" s="8"/>
      <c r="O31" s="8"/>
      <c r="P31" s="9"/>
    </row>
  </sheetData>
  <mergeCells count="33">
    <mergeCell ref="F2:L3"/>
    <mergeCell ref="C4:D4"/>
    <mergeCell ref="E5:F5"/>
    <mergeCell ref="E6:F6"/>
    <mergeCell ref="L5:M5"/>
    <mergeCell ref="L6:M6"/>
    <mergeCell ref="N5:O5"/>
    <mergeCell ref="N6:O6"/>
    <mergeCell ref="C8:D8"/>
    <mergeCell ref="C23:E23"/>
    <mergeCell ref="C24:D24"/>
    <mergeCell ref="E24:F24"/>
    <mergeCell ref="K17:L17"/>
    <mergeCell ref="J23:L23"/>
    <mergeCell ref="J24:K24"/>
    <mergeCell ref="J25:K25"/>
    <mergeCell ref="L24:M24"/>
    <mergeCell ref="L25:M25"/>
    <mergeCell ref="C27:E27"/>
    <mergeCell ref="C25:D25"/>
    <mergeCell ref="E25:F25"/>
    <mergeCell ref="K29:L29"/>
    <mergeCell ref="M28:N28"/>
    <mergeCell ref="M29:N29"/>
    <mergeCell ref="C29:D29"/>
    <mergeCell ref="E28:F28"/>
    <mergeCell ref="E29:F29"/>
    <mergeCell ref="G28:H28"/>
    <mergeCell ref="G29:H29"/>
    <mergeCell ref="I28:J28"/>
    <mergeCell ref="I29:J29"/>
    <mergeCell ref="C28:D28"/>
    <mergeCell ref="K28:L28"/>
  </mergeCells>
  <dataValidations count="2">
    <dataValidation type="list" allowBlank="1" showInputMessage="1" showErrorMessage="1" sqref="D6" xr:uid="{817135A6-4984-C041-8679-EA9C0BFFCAD5}">
      <formula1>$AA$2:$AA$4</formula1>
    </dataValidation>
    <dataValidation type="list" allowBlank="1" showInputMessage="1" showErrorMessage="1" sqref="C10:C15" xr:uid="{85FF182A-AA2C-1045-9A22-68198D407A30}">
      <formula1>$BA$2:$BA$3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FC_Page1">
              <controlPr defaultSize="0" print="0" autoFill="0" autoPict="0" macro="[1]!FC_Page1">
                <anchor moveWithCells="1" sizeWithCells="1">
                  <from>
                    <xdr:col>6</xdr:col>
                    <xdr:colOff>129540</xdr:colOff>
                    <xdr:row>29</xdr:row>
                    <xdr:rowOff>129540</xdr:rowOff>
                  </from>
                  <to>
                    <xdr:col>7</xdr:col>
                    <xdr:colOff>365760</xdr:colOff>
                    <xdr:row>30</xdr:row>
                    <xdr:rowOff>114300</xdr:rowOff>
                  </to>
                </anchor>
              </controlPr>
            </control>
          </mc:Choice>
        </mc:AlternateContent>
        <mc:AlternateContent xmlns:mc="http://schemas.openxmlformats.org/markup-compatibility/2006">
          <mc:Choice Requires="x14">
            <control shapeId="2050" r:id="rId4" name="FC_Page2">
              <controlPr defaultSize="0" print="0" autoFill="0" autoPict="0" macro="[1]!FC_Page2">
                <anchor moveWithCells="1" sizeWithCells="1">
                  <from>
                    <xdr:col>7</xdr:col>
                    <xdr:colOff>495300</xdr:colOff>
                    <xdr:row>29</xdr:row>
                    <xdr:rowOff>129540</xdr:rowOff>
                  </from>
                  <to>
                    <xdr:col>8</xdr:col>
                    <xdr:colOff>815340</xdr:colOff>
                    <xdr:row>30</xdr:row>
                    <xdr:rowOff>114300</xdr:rowOff>
                  </to>
                </anchor>
              </controlPr>
            </control>
          </mc:Choice>
        </mc:AlternateContent>
        <mc:AlternateContent xmlns:mc="http://schemas.openxmlformats.org/markup-compatibility/2006">
          <mc:Choice Requires="x14">
            <control shapeId="2051" r:id="rId5" name="FC_Page3">
              <controlPr defaultSize="0" print="0" autoFill="0" autoPict="0" macro="[1]!FC_Page3">
                <anchor moveWithCells="1" sizeWithCells="1">
                  <from>
                    <xdr:col>9</xdr:col>
                    <xdr:colOff>114300</xdr:colOff>
                    <xdr:row>29</xdr:row>
                    <xdr:rowOff>129540</xdr:rowOff>
                  </from>
                  <to>
                    <xdr:col>10</xdr:col>
                    <xdr:colOff>434340</xdr:colOff>
                    <xdr:row>30</xdr:row>
                    <xdr:rowOff>114300</xdr:rowOff>
                  </to>
                </anchor>
              </controlPr>
            </control>
          </mc:Choice>
        </mc:AlternateContent>
        <mc:AlternateContent xmlns:mc="http://schemas.openxmlformats.org/markup-compatibility/2006">
          <mc:Choice Requires="x14">
            <control shapeId="2052" r:id="rId6" name="G_Plein_Ecran">
              <controlPr defaultSize="0" print="0" autoFill="0" autoPict="0" macro="[1]!G_Plein_Ecran">
                <anchor moveWithCells="1" sizeWithCells="1">
                  <from>
                    <xdr:col>1</xdr:col>
                    <xdr:colOff>99060</xdr:colOff>
                    <xdr:row>1</xdr:row>
                    <xdr:rowOff>60960</xdr:rowOff>
                  </from>
                  <to>
                    <xdr:col>1</xdr:col>
                    <xdr:colOff>739140</xdr:colOff>
                    <xdr:row>3</xdr:row>
                    <xdr:rowOff>91440</xdr:rowOff>
                  </to>
                </anchor>
              </controlPr>
            </control>
          </mc:Choice>
        </mc:AlternateContent>
        <mc:AlternateContent xmlns:mc="http://schemas.openxmlformats.org/markup-compatibility/2006">
          <mc:Choice Requires="x14">
            <control shapeId="2053" r:id="rId7" name="G_Fenetre">
              <controlPr defaultSize="0" print="0" autoFill="0" autoPict="0" macro="[1]!G_Fenetre">
                <anchor moveWithCells="1" sizeWithCells="1">
                  <from>
                    <xdr:col>1</xdr:col>
                    <xdr:colOff>99060</xdr:colOff>
                    <xdr:row>3</xdr:row>
                    <xdr:rowOff>152400</xdr:rowOff>
                  </from>
                  <to>
                    <xdr:col>1</xdr:col>
                    <xdr:colOff>739140</xdr:colOff>
                    <xdr:row>4</xdr:row>
                    <xdr:rowOff>190500</xdr:rowOff>
                  </to>
                </anchor>
              </controlPr>
            </control>
          </mc:Choice>
        </mc:AlternateContent>
        <mc:AlternateContent xmlns:mc="http://schemas.openxmlformats.org/markup-compatibility/2006">
          <mc:Choice Requires="x14">
            <control shapeId="2054" r:id="rId8" name="FC_Update">
              <controlPr defaultSize="0" print="0" autoFill="0" autoPict="0" macro="[1]!FC_Update">
                <anchor moveWithCells="1" sizeWithCells="1">
                  <from>
                    <xdr:col>13</xdr:col>
                    <xdr:colOff>365760</xdr:colOff>
                    <xdr:row>1</xdr:row>
                    <xdr:rowOff>99060</xdr:rowOff>
                  </from>
                  <to>
                    <xdr:col>14</xdr:col>
                    <xdr:colOff>739140</xdr:colOff>
                    <xdr:row>3</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BF181-1175-AD48-BAF5-497AB118FFCB}">
  <sheetPr codeName="Feuil3"/>
  <dimension ref="B1:J25"/>
  <sheetViews>
    <sheetView showGridLines="0" topLeftCell="A9" zoomScale="139" zoomScaleNormal="139" workbookViewId="0">
      <selection activeCell="C4" sqref="C4"/>
    </sheetView>
  </sheetViews>
  <sheetFormatPr baseColWidth="10" defaultRowHeight="15.6" x14ac:dyDescent="0.3"/>
  <cols>
    <col min="1" max="1" width="5.796875" customWidth="1"/>
    <col min="3" max="9" width="15.796875" customWidth="1"/>
    <col min="16" max="16" width="5.796875" customWidth="1"/>
  </cols>
  <sheetData>
    <row r="1" spans="2:10" ht="16.2" thickBot="1" x14ac:dyDescent="0.35"/>
    <row r="2" spans="2:10" ht="34.200000000000003" thickBot="1" x14ac:dyDescent="0.35">
      <c r="B2" s="1"/>
      <c r="C2" s="2"/>
      <c r="D2" s="94" t="s">
        <v>79</v>
      </c>
      <c r="E2" s="95"/>
      <c r="F2" s="95"/>
      <c r="G2" s="95"/>
      <c r="H2" s="96"/>
      <c r="I2" s="2"/>
      <c r="J2" s="3"/>
    </row>
    <row r="3" spans="2:10" ht="16.2" thickBot="1" x14ac:dyDescent="0.35">
      <c r="B3" s="4"/>
      <c r="C3" s="5"/>
      <c r="D3" s="5"/>
      <c r="E3" s="5"/>
      <c r="F3" s="5"/>
      <c r="G3" s="5"/>
      <c r="H3" s="5"/>
      <c r="I3" s="5"/>
      <c r="J3" s="6"/>
    </row>
    <row r="4" spans="2:10" ht="16.2" thickBot="1" x14ac:dyDescent="0.35">
      <c r="B4" s="4"/>
      <c r="C4" s="24" t="s">
        <v>80</v>
      </c>
      <c r="D4" s="5"/>
      <c r="E4" s="5"/>
      <c r="F4" s="5"/>
      <c r="G4" s="5"/>
      <c r="H4" s="5"/>
      <c r="I4" s="5"/>
      <c r="J4" s="6"/>
    </row>
    <row r="5" spans="2:10" x14ac:dyDescent="0.3">
      <c r="B5" s="4"/>
      <c r="C5" s="33" t="s">
        <v>81</v>
      </c>
      <c r="D5" s="34" t="s">
        <v>43</v>
      </c>
      <c r="E5" s="34" t="s">
        <v>82</v>
      </c>
      <c r="F5" s="34" t="s">
        <v>83</v>
      </c>
      <c r="G5" s="34" t="s">
        <v>84</v>
      </c>
      <c r="H5" s="34" t="s">
        <v>85</v>
      </c>
      <c r="I5" s="37" t="s">
        <v>86</v>
      </c>
      <c r="J5" s="6"/>
    </row>
    <row r="6" spans="2:10" x14ac:dyDescent="0.3">
      <c r="B6" s="4"/>
      <c r="C6" s="38" t="s">
        <v>105</v>
      </c>
      <c r="D6" s="43">
        <v>23000</v>
      </c>
      <c r="E6" s="45"/>
      <c r="F6" s="43"/>
      <c r="G6" s="39"/>
      <c r="H6" s="39"/>
      <c r="I6" s="40" t="s">
        <v>2</v>
      </c>
      <c r="J6" s="6"/>
    </row>
    <row r="7" spans="2:10" x14ac:dyDescent="0.3">
      <c r="B7" s="4"/>
      <c r="C7" s="38" t="s">
        <v>106</v>
      </c>
      <c r="D7" s="43">
        <v>500</v>
      </c>
      <c r="E7" s="45"/>
      <c r="F7" s="43"/>
      <c r="G7" s="39"/>
      <c r="H7" s="39"/>
      <c r="I7" s="40" t="s">
        <v>2</v>
      </c>
      <c r="J7" s="6"/>
    </row>
    <row r="8" spans="2:10" x14ac:dyDescent="0.3">
      <c r="B8" s="4"/>
      <c r="C8" s="38" t="s">
        <v>107</v>
      </c>
      <c r="D8" s="43">
        <v>1000</v>
      </c>
      <c r="E8" s="45"/>
      <c r="F8" s="43">
        <v>1000</v>
      </c>
      <c r="G8" s="39"/>
      <c r="H8" s="39"/>
      <c r="I8" s="40" t="s">
        <v>2</v>
      </c>
      <c r="J8" s="6"/>
    </row>
    <row r="9" spans="2:10" x14ac:dyDescent="0.3">
      <c r="B9" s="4"/>
      <c r="C9" s="38" t="s">
        <v>107</v>
      </c>
      <c r="D9" s="43">
        <v>1000</v>
      </c>
      <c r="E9" s="45"/>
      <c r="F9" s="43"/>
      <c r="G9" s="39"/>
      <c r="H9" s="39"/>
      <c r="I9" s="40" t="s">
        <v>2</v>
      </c>
      <c r="J9" s="6"/>
    </row>
    <row r="10" spans="2:10" x14ac:dyDescent="0.3">
      <c r="B10" s="4"/>
      <c r="C10" s="38" t="s">
        <v>108</v>
      </c>
      <c r="D10" s="43">
        <v>7000</v>
      </c>
      <c r="E10" s="45"/>
      <c r="F10" s="43"/>
      <c r="G10" s="39"/>
      <c r="H10" s="39"/>
      <c r="I10" s="40" t="s">
        <v>2</v>
      </c>
      <c r="J10" s="6"/>
    </row>
    <row r="11" spans="2:10" x14ac:dyDescent="0.3">
      <c r="B11" s="4"/>
      <c r="C11" s="38" t="s">
        <v>109</v>
      </c>
      <c r="D11" s="43">
        <v>3000</v>
      </c>
      <c r="E11" s="45"/>
      <c r="F11" s="43"/>
      <c r="G11" s="39"/>
      <c r="H11" s="39"/>
      <c r="I11" s="40" t="s">
        <v>2</v>
      </c>
      <c r="J11" s="6"/>
    </row>
    <row r="12" spans="2:10" x14ac:dyDescent="0.3">
      <c r="B12" s="4"/>
      <c r="C12" s="38"/>
      <c r="D12" s="43"/>
      <c r="E12" s="45"/>
      <c r="F12" s="43"/>
      <c r="G12" s="39"/>
      <c r="H12" s="39"/>
      <c r="I12" s="40"/>
      <c r="J12" s="6"/>
    </row>
    <row r="13" spans="2:10" x14ac:dyDescent="0.3">
      <c r="B13" s="4"/>
      <c r="C13" s="38"/>
      <c r="D13" s="43"/>
      <c r="E13" s="45"/>
      <c r="F13" s="43"/>
      <c r="G13" s="39"/>
      <c r="H13" s="39"/>
      <c r="I13" s="40"/>
      <c r="J13" s="6"/>
    </row>
    <row r="14" spans="2:10" x14ac:dyDescent="0.3">
      <c r="B14" s="4"/>
      <c r="C14" s="38"/>
      <c r="D14" s="43"/>
      <c r="E14" s="45"/>
      <c r="F14" s="43"/>
      <c r="G14" s="39"/>
      <c r="H14" s="39"/>
      <c r="I14" s="40"/>
      <c r="J14" s="6"/>
    </row>
    <row r="15" spans="2:10" x14ac:dyDescent="0.3">
      <c r="B15" s="4"/>
      <c r="C15" s="38"/>
      <c r="D15" s="43"/>
      <c r="E15" s="45"/>
      <c r="F15" s="43"/>
      <c r="G15" s="39"/>
      <c r="H15" s="39"/>
      <c r="I15" s="40"/>
      <c r="J15" s="6"/>
    </row>
    <row r="16" spans="2:10" x14ac:dyDescent="0.3">
      <c r="B16" s="4"/>
      <c r="C16" s="38"/>
      <c r="D16" s="43"/>
      <c r="E16" s="45"/>
      <c r="F16" s="43"/>
      <c r="G16" s="39"/>
      <c r="H16" s="39"/>
      <c r="I16" s="40"/>
      <c r="J16" s="6"/>
    </row>
    <row r="17" spans="2:10" x14ac:dyDescent="0.3">
      <c r="B17" s="4"/>
      <c r="C17" s="38"/>
      <c r="D17" s="43"/>
      <c r="E17" s="45"/>
      <c r="F17" s="43"/>
      <c r="G17" s="39"/>
      <c r="H17" s="39"/>
      <c r="I17" s="40"/>
      <c r="J17" s="6"/>
    </row>
    <row r="18" spans="2:10" x14ac:dyDescent="0.3">
      <c r="B18" s="4"/>
      <c r="C18" s="38"/>
      <c r="D18" s="43"/>
      <c r="E18" s="45"/>
      <c r="F18" s="43"/>
      <c r="G18" s="39"/>
      <c r="H18" s="39"/>
      <c r="I18" s="40"/>
      <c r="J18" s="6"/>
    </row>
    <row r="19" spans="2:10" ht="16.2" thickBot="1" x14ac:dyDescent="0.35">
      <c r="B19" s="4"/>
      <c r="C19" s="35"/>
      <c r="D19" s="42"/>
      <c r="E19" s="47"/>
      <c r="F19" s="42"/>
      <c r="G19" s="36"/>
      <c r="H19" s="36"/>
      <c r="I19" s="41"/>
      <c r="J19" s="6"/>
    </row>
    <row r="20" spans="2:10" ht="16.2" thickBot="1" x14ac:dyDescent="0.35">
      <c r="B20" s="4"/>
      <c r="C20" s="5"/>
      <c r="D20" s="5"/>
      <c r="E20" s="5"/>
      <c r="F20" s="5"/>
      <c r="G20" s="5"/>
      <c r="H20" s="5"/>
      <c r="I20" s="5"/>
      <c r="J20" s="6"/>
    </row>
    <row r="21" spans="2:10" ht="16.2" thickBot="1" x14ac:dyDescent="0.35">
      <c r="B21" s="4"/>
      <c r="C21" s="62" t="s">
        <v>87</v>
      </c>
      <c r="D21" s="63"/>
      <c r="E21" s="5"/>
      <c r="F21" s="5"/>
      <c r="G21" s="5"/>
      <c r="H21" s="5"/>
      <c r="I21" s="5"/>
      <c r="J21" s="6"/>
    </row>
    <row r="22" spans="2:10" x14ac:dyDescent="0.3">
      <c r="B22" s="4"/>
      <c r="C22" s="33" t="s">
        <v>88</v>
      </c>
      <c r="D22" s="34" t="s">
        <v>89</v>
      </c>
      <c r="E22" s="34" t="s">
        <v>90</v>
      </c>
      <c r="F22" s="34" t="s">
        <v>91</v>
      </c>
      <c r="G22" s="34" t="s">
        <v>92</v>
      </c>
      <c r="H22" s="34" t="s">
        <v>93</v>
      </c>
      <c r="I22" s="37" t="s">
        <v>94</v>
      </c>
      <c r="J22" s="6"/>
    </row>
    <row r="23" spans="2:10" ht="16.2" thickBot="1" x14ac:dyDescent="0.35">
      <c r="B23" s="4"/>
      <c r="C23" s="49">
        <v>35500</v>
      </c>
      <c r="D23" s="42">
        <v>0</v>
      </c>
      <c r="E23" s="42">
        <v>1000</v>
      </c>
      <c r="F23" s="42">
        <v>0</v>
      </c>
      <c r="G23" s="42">
        <v>35500</v>
      </c>
      <c r="H23" s="42">
        <v>1000</v>
      </c>
      <c r="I23" s="44">
        <v>350</v>
      </c>
      <c r="J23" s="6"/>
    </row>
    <row r="24" spans="2:10" x14ac:dyDescent="0.3">
      <c r="B24" s="4"/>
      <c r="C24" s="5"/>
      <c r="D24" s="5"/>
      <c r="E24" s="5"/>
      <c r="F24" s="5"/>
      <c r="G24" s="5"/>
      <c r="H24" s="5"/>
      <c r="I24" s="5"/>
      <c r="J24" s="6"/>
    </row>
    <row r="25" spans="2:10" ht="16.2" thickBot="1" x14ac:dyDescent="0.35">
      <c r="B25" s="7"/>
      <c r="C25" s="8"/>
      <c r="D25" s="8"/>
      <c r="E25" s="8"/>
      <c r="F25" s="8"/>
      <c r="G25" s="8"/>
      <c r="H25" s="8"/>
      <c r="I25" s="8"/>
      <c r="J25" s="9"/>
    </row>
  </sheetData>
  <mergeCells count="2">
    <mergeCell ref="D2:H2"/>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FC_Page1">
              <controlPr defaultSize="0" print="0" autoFill="0" autoPict="0" macro="[1]!FC_Page1">
                <anchor moveWithCells="1" sizeWithCells="1">
                  <from>
                    <xdr:col>4</xdr:col>
                    <xdr:colOff>0</xdr:colOff>
                    <xdr:row>23</xdr:row>
                    <xdr:rowOff>137160</xdr:rowOff>
                  </from>
                  <to>
                    <xdr:col>4</xdr:col>
                    <xdr:colOff>1143000</xdr:colOff>
                    <xdr:row>24</xdr:row>
                    <xdr:rowOff>129540</xdr:rowOff>
                  </to>
                </anchor>
              </controlPr>
            </control>
          </mc:Choice>
        </mc:AlternateContent>
        <mc:AlternateContent xmlns:mc="http://schemas.openxmlformats.org/markup-compatibility/2006">
          <mc:Choice Requires="x14">
            <control shapeId="3074" r:id="rId4" name="FC_Page2">
              <controlPr defaultSize="0" print="0" autoFill="0" autoPict="0" macro="[1]!FC_Page2">
                <anchor moveWithCells="1" sizeWithCells="1">
                  <from>
                    <xdr:col>5</xdr:col>
                    <xdr:colOff>60960</xdr:colOff>
                    <xdr:row>23</xdr:row>
                    <xdr:rowOff>137160</xdr:rowOff>
                  </from>
                  <to>
                    <xdr:col>6</xdr:col>
                    <xdr:colOff>0</xdr:colOff>
                    <xdr:row>24</xdr:row>
                    <xdr:rowOff>129540</xdr:rowOff>
                  </to>
                </anchor>
              </controlPr>
            </control>
          </mc:Choice>
        </mc:AlternateContent>
        <mc:AlternateContent xmlns:mc="http://schemas.openxmlformats.org/markup-compatibility/2006">
          <mc:Choice Requires="x14">
            <control shapeId="3075" r:id="rId5" name="FC_Page3">
              <controlPr defaultSize="0" print="0" autoFill="0" autoPict="0" macro="[1]!FC_Page3">
                <anchor moveWithCells="1" sizeWithCells="1">
                  <from>
                    <xdr:col>6</xdr:col>
                    <xdr:colOff>129540</xdr:colOff>
                    <xdr:row>23</xdr:row>
                    <xdr:rowOff>137160</xdr:rowOff>
                  </from>
                  <to>
                    <xdr:col>7</xdr:col>
                    <xdr:colOff>60960</xdr:colOff>
                    <xdr:row>24</xdr:row>
                    <xdr:rowOff>129540</xdr:rowOff>
                  </to>
                </anchor>
              </controlPr>
            </control>
          </mc:Choice>
        </mc:AlternateContent>
        <mc:AlternateContent xmlns:mc="http://schemas.openxmlformats.org/markup-compatibility/2006">
          <mc:Choice Requires="x14">
            <control shapeId="3076" r:id="rId6" name="G_Plein_Ecran">
              <controlPr defaultSize="0" print="0" autoFill="0" autoPict="0" macro="[1]!G_Plein_Ecran">
                <anchor moveWithCells="1" sizeWithCells="1">
                  <from>
                    <xdr:col>1</xdr:col>
                    <xdr:colOff>99060</xdr:colOff>
                    <xdr:row>1</xdr:row>
                    <xdr:rowOff>60960</xdr:rowOff>
                  </from>
                  <to>
                    <xdr:col>1</xdr:col>
                    <xdr:colOff>739140</xdr:colOff>
                    <xdr:row>2</xdr:row>
                    <xdr:rowOff>60960</xdr:rowOff>
                  </to>
                </anchor>
              </controlPr>
            </control>
          </mc:Choice>
        </mc:AlternateContent>
        <mc:AlternateContent xmlns:mc="http://schemas.openxmlformats.org/markup-compatibility/2006">
          <mc:Choice Requires="x14">
            <control shapeId="3077" r:id="rId7" name="G_Fenetre">
              <controlPr defaultSize="0" print="0" autoFill="0" autoPict="0" macro="[1]!G_Fenetre">
                <anchor moveWithCells="1" sizeWithCells="1">
                  <from>
                    <xdr:col>1</xdr:col>
                    <xdr:colOff>99060</xdr:colOff>
                    <xdr:row>2</xdr:row>
                    <xdr:rowOff>129540</xdr:rowOff>
                  </from>
                  <to>
                    <xdr:col>1</xdr:col>
                    <xdr:colOff>739140</xdr:colOff>
                    <xdr:row>3</xdr:row>
                    <xdr:rowOff>167640</xdr:rowOff>
                  </to>
                </anchor>
              </controlPr>
            </control>
          </mc:Choice>
        </mc:AlternateContent>
        <mc:AlternateContent xmlns:mc="http://schemas.openxmlformats.org/markup-compatibility/2006">
          <mc:Choice Requires="x14">
            <control shapeId="3078" r:id="rId8" name="FC_Update">
              <controlPr defaultSize="0" print="0" autoFill="0" autoPict="0" macro="[1]!FC_Update">
                <anchor moveWithCells="1" sizeWithCells="1">
                  <from>
                    <xdr:col>8</xdr:col>
                    <xdr:colOff>381000</xdr:colOff>
                    <xdr:row>1</xdr:row>
                    <xdr:rowOff>99060</xdr:rowOff>
                  </from>
                  <to>
                    <xdr:col>9</xdr:col>
                    <xdr:colOff>441960</xdr:colOff>
                    <xdr:row>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66</vt:i4>
      </vt:variant>
    </vt:vector>
  </HeadingPairs>
  <TitlesOfParts>
    <vt:vector size="69" baseType="lpstr">
      <vt:lpstr>Fiche Client</vt:lpstr>
      <vt:lpstr>P Immobilier</vt:lpstr>
      <vt:lpstr>P Financier</vt:lpstr>
      <vt:lpstr>Age_1</vt:lpstr>
      <vt:lpstr>Age_2</vt:lpstr>
      <vt:lpstr>BFD_Mois</vt:lpstr>
      <vt:lpstr>BFS_Mois</vt:lpstr>
      <vt:lpstr>Charges_An</vt:lpstr>
      <vt:lpstr>Charges_Mois</vt:lpstr>
      <vt:lpstr>Dept</vt:lpstr>
      <vt:lpstr>Detail</vt:lpstr>
      <vt:lpstr>EMD</vt:lpstr>
      <vt:lpstr>Enfants</vt:lpstr>
      <vt:lpstr>Impot</vt:lpstr>
      <vt:lpstr>Mail</vt:lpstr>
      <vt:lpstr>Nom_1</vt:lpstr>
      <vt:lpstr>Nom_2</vt:lpstr>
      <vt:lpstr>Part_Prop</vt:lpstr>
      <vt:lpstr>Parts</vt:lpstr>
      <vt:lpstr>Pension_1</vt:lpstr>
      <vt:lpstr>Pension_2</vt:lpstr>
      <vt:lpstr>PFD</vt:lpstr>
      <vt:lpstr>PFT</vt:lpstr>
      <vt:lpstr>PIB</vt:lpstr>
      <vt:lpstr>PID_B</vt:lpstr>
      <vt:lpstr>PID_M</vt:lpstr>
      <vt:lpstr>PID_N</vt:lpstr>
      <vt:lpstr>PID_R</vt:lpstr>
      <vt:lpstr>PIN</vt:lpstr>
      <vt:lpstr>PIS_B</vt:lpstr>
      <vt:lpstr>PIS_M</vt:lpstr>
      <vt:lpstr>PIS_N</vt:lpstr>
      <vt:lpstr>PIS_R</vt:lpstr>
      <vt:lpstr>Prenom_1</vt:lpstr>
      <vt:lpstr>Prenom_2</vt:lpstr>
      <vt:lpstr>Profession_1</vt:lpstr>
      <vt:lpstr>Profession_2</vt:lpstr>
      <vt:lpstr>PTB</vt:lpstr>
      <vt:lpstr>PTN</vt:lpstr>
      <vt:lpstr>Regime</vt:lpstr>
      <vt:lpstr>Revenus_An</vt:lpstr>
      <vt:lpstr>RP_Emprunt</vt:lpstr>
      <vt:lpstr>RP_ML</vt:lpstr>
      <vt:lpstr>RP_Reste</vt:lpstr>
      <vt:lpstr>RP_Valeur</vt:lpstr>
      <vt:lpstr>Salaire_1</vt:lpstr>
      <vt:lpstr>Salaire_2</vt:lpstr>
      <vt:lpstr>Salaires_Mois</vt:lpstr>
      <vt:lpstr>Situation</vt:lpstr>
      <vt:lpstr>Source</vt:lpstr>
      <vt:lpstr>SPF_DC_1</vt:lpstr>
      <vt:lpstr>SPF_DC_2</vt:lpstr>
      <vt:lpstr>SPF_DG</vt:lpstr>
      <vt:lpstr>SPF_EMD</vt:lpstr>
      <vt:lpstr>SPF_TC_1</vt:lpstr>
      <vt:lpstr>SPF_TC_2</vt:lpstr>
      <vt:lpstr>SPF_TG</vt:lpstr>
      <vt:lpstr>SPI_B</vt:lpstr>
      <vt:lpstr>SPI_M</vt:lpstr>
      <vt:lpstr>SPI_N</vt:lpstr>
      <vt:lpstr>SPI_R</vt:lpstr>
      <vt:lpstr>SPI_Tx_E</vt:lpstr>
      <vt:lpstr>SPI_Tx_EP</vt:lpstr>
      <vt:lpstr>Statut</vt:lpstr>
      <vt:lpstr>Tel</vt:lpstr>
      <vt:lpstr>TM</vt:lpstr>
      <vt:lpstr>TMI</vt:lpstr>
      <vt:lpstr>Tx_E</vt:lpstr>
      <vt:lpstr>Tx_EP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Ecaterina TROCIN</cp:lastModifiedBy>
  <dcterms:created xsi:type="dcterms:W3CDTF">2022-07-20T13:13:48Z</dcterms:created>
  <dcterms:modified xsi:type="dcterms:W3CDTF">2024-05-15T15:52:36Z</dcterms:modified>
</cp:coreProperties>
</file>