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lbordeaux-my.sharepoint.com/personal/etrocin_tailored-finance_fr/Documents/Bureau/clients 20112023/"/>
    </mc:Choice>
  </mc:AlternateContent>
  <xr:revisionPtr revIDLastSave="0" documentId="8_{C912D568-263D-49D7-A61E-CD294896AC10}" xr6:coauthVersionLast="47" xr6:coauthVersionMax="47" xr10:uidLastSave="{00000000-0000-0000-0000-000000000000}"/>
  <bookViews>
    <workbookView xWindow="-108" yWindow="-108" windowWidth="23256" windowHeight="12576" tabRatio="912" firstSheet="1" activeTab="2" xr2:uid="{FB0DA232-55AE-3F44-89A3-B4A5CFA2BC78}"/>
  </bookViews>
  <sheets>
    <sheet name="Présentation" sheetId="3" r:id="rId1"/>
    <sheet name="Etat Civil" sheetId="1" r:id="rId2"/>
    <sheet name="Situation Patrimoniale" sheetId="4" r:id="rId3"/>
    <sheet name="Prévision retraite" sheetId="10" state="hidden" r:id="rId4"/>
    <sheet name="Patrimoine social" sheetId="18" state="hidden" r:id="rId5"/>
    <sheet name="Principaux objectifs" sheetId="6" r:id="rId6"/>
    <sheet name="Les points forts" sheetId="8" r:id="rId7"/>
    <sheet name="Commentaires Suivi" sheetId="19" r:id="rId8"/>
    <sheet name="Calcul IR 2" sheetId="13" state="hidden" r:id="rId9"/>
    <sheet name="Impôt 2021 revenus 2020" sheetId="14" state="hidden" r:id="rId10"/>
    <sheet name="Calcul IR Bis Retraite" sheetId="15" state="hidden" r:id="rId11"/>
    <sheet name="Impôt Retraite" sheetId="16" state="hidden" r:id="rId1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1" i="4" l="1"/>
  <c r="E35" i="4"/>
  <c r="I63" i="4"/>
  <c r="J31" i="4"/>
  <c r="J30" i="4"/>
  <c r="J14" i="4"/>
  <c r="J15" i="4"/>
  <c r="J16" i="4"/>
  <c r="J13" i="4"/>
  <c r="E8" i="13"/>
  <c r="D17" i="1"/>
  <c r="D11" i="1"/>
  <c r="G45" i="1"/>
  <c r="H9" i="1"/>
  <c r="D63" i="4" l="1"/>
  <c r="G35" i="4"/>
  <c r="E8" i="10"/>
  <c r="H61" i="4" l="1"/>
  <c r="F61" i="4"/>
  <c r="J61" i="4"/>
  <c r="J35" i="4"/>
  <c r="E15" i="10"/>
  <c r="E16" i="10"/>
  <c r="E17" i="10"/>
  <c r="E14" i="10"/>
  <c r="F22" i="10" l="1"/>
  <c r="F33" i="4" l="1"/>
  <c r="H15" i="1"/>
  <c r="C4" i="14" l="1"/>
  <c r="C3" i="14" l="1"/>
  <c r="O36" i="13" s="1"/>
  <c r="E7" i="13" l="1"/>
  <c r="G31" i="1" l="1"/>
  <c r="J4" i="15" l="1"/>
  <c r="C5" i="16"/>
  <c r="I13" i="15" s="1"/>
  <c r="C3" i="16"/>
  <c r="C37" i="15"/>
  <c r="B37" i="15"/>
  <c r="C36" i="15"/>
  <c r="E36" i="15" s="1"/>
  <c r="B36" i="15"/>
  <c r="R35" i="15"/>
  <c r="O35" i="15"/>
  <c r="O34" i="15"/>
  <c r="C34" i="15"/>
  <c r="E34" i="15" s="1"/>
  <c r="B34" i="15"/>
  <c r="C33" i="15"/>
  <c r="B33" i="15"/>
  <c r="D29" i="15"/>
  <c r="D27" i="15"/>
  <c r="D26" i="15"/>
  <c r="E25" i="15"/>
  <c r="D25" i="15"/>
  <c r="A19" i="15"/>
  <c r="D9" i="15"/>
  <c r="E8" i="15"/>
  <c r="E7" i="15"/>
  <c r="F7" i="15" s="1"/>
  <c r="D7" i="15"/>
  <c r="E6" i="15"/>
  <c r="D6" i="15"/>
  <c r="E5" i="15"/>
  <c r="D5" i="15"/>
  <c r="E37" i="15" l="1"/>
  <c r="F37" i="15" s="1"/>
  <c r="F8" i="15"/>
  <c r="O30" i="15"/>
  <c r="C10" i="16" s="1"/>
  <c r="I36" i="15" s="1"/>
  <c r="I35" i="15"/>
  <c r="F36" i="15"/>
  <c r="I14" i="15"/>
  <c r="I15" i="15"/>
  <c r="I16" i="15" l="1"/>
  <c r="B27" i="15"/>
  <c r="C27" i="15"/>
  <c r="C25" i="15"/>
  <c r="C28" i="15"/>
  <c r="B26" i="15"/>
  <c r="B28" i="15"/>
  <c r="C26" i="15"/>
  <c r="E26" i="15" l="1"/>
  <c r="E27" i="15"/>
  <c r="E28" i="15"/>
  <c r="F27" i="15" l="1"/>
  <c r="F28" i="15"/>
  <c r="C5" i="14" l="1"/>
  <c r="C10" i="14" l="1"/>
  <c r="J4" i="13" s="1"/>
  <c r="I16" i="13" s="1"/>
  <c r="I35" i="13"/>
  <c r="I13" i="13"/>
  <c r="I15" i="13"/>
  <c r="I14" i="13"/>
  <c r="C37" i="13"/>
  <c r="B37" i="13"/>
  <c r="C36" i="13"/>
  <c r="B36" i="13"/>
  <c r="R41" i="13"/>
  <c r="O41" i="13"/>
  <c r="O40" i="13"/>
  <c r="C34" i="13"/>
  <c r="B34" i="13"/>
  <c r="C33" i="13"/>
  <c r="B33" i="13"/>
  <c r="D29" i="13"/>
  <c r="D27" i="13"/>
  <c r="E25" i="13"/>
  <c r="D25" i="13"/>
  <c r="A19" i="13"/>
  <c r="D9" i="13"/>
  <c r="D7" i="13"/>
  <c r="E6" i="13"/>
  <c r="F8" i="13" s="1"/>
  <c r="E5" i="13"/>
  <c r="D5" i="13"/>
  <c r="I36" i="13" l="1"/>
  <c r="E34" i="13"/>
  <c r="E37" i="13"/>
  <c r="E36" i="13"/>
  <c r="F7" i="13"/>
  <c r="H8" i="1"/>
  <c r="H14" i="1"/>
  <c r="H23" i="1" l="1"/>
  <c r="J3" i="13"/>
  <c r="I10" i="13" s="1"/>
  <c r="J3" i="15"/>
  <c r="D22" i="10"/>
  <c r="F36" i="13"/>
  <c r="F37" i="13"/>
  <c r="D33" i="4" l="1"/>
  <c r="I33" i="4"/>
  <c r="C8" i="14"/>
  <c r="G29" i="1" s="1"/>
  <c r="I33" i="13"/>
  <c r="I37" i="13" l="1"/>
  <c r="B27" i="13"/>
  <c r="B28" i="13"/>
  <c r="C25" i="13"/>
  <c r="C27" i="13"/>
  <c r="I17" i="13"/>
  <c r="C28" i="13"/>
  <c r="B26" i="13"/>
  <c r="C26" i="13"/>
  <c r="E27" i="13" l="1"/>
  <c r="E26" i="13"/>
  <c r="E28" i="13"/>
  <c r="I34" i="13" l="1"/>
  <c r="I39" i="13" s="1"/>
  <c r="I11" i="13"/>
  <c r="I20" i="13" s="1"/>
  <c r="I21" i="13" s="1"/>
  <c r="F27" i="13"/>
  <c r="F28" i="13"/>
  <c r="H30" i="1" l="1"/>
  <c r="I40" i="13"/>
  <c r="I41" i="13" s="1"/>
  <c r="C12" i="14"/>
  <c r="C13" i="14" l="1"/>
  <c r="I22" i="13"/>
  <c r="C14" i="14" l="1"/>
  <c r="D14" i="14" s="1"/>
  <c r="G30" i="1" s="1"/>
  <c r="H32" i="1" s="1"/>
  <c r="C30" i="10" l="1"/>
  <c r="I10" i="15"/>
  <c r="I17" i="15" s="1"/>
  <c r="I33" i="15"/>
  <c r="I37" i="15" s="1"/>
  <c r="I34" i="15"/>
  <c r="I11" i="15"/>
  <c r="C8" i="16"/>
  <c r="I20" i="15" l="1"/>
  <c r="I39" i="15"/>
  <c r="I40" i="15" l="1"/>
  <c r="C12" i="16"/>
  <c r="I21" i="15"/>
  <c r="I41" i="15" l="1"/>
  <c r="C13" i="16"/>
  <c r="I22" i="15"/>
  <c r="C14" i="16" l="1"/>
  <c r="D14" i="16" s="1"/>
  <c r="E22" i="10" l="1"/>
  <c r="E24" i="10" s="1"/>
  <c r="E25" i="10" s="1"/>
  <c r="F25" i="10" s="1"/>
  <c r="F24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tc={0DA5FFEE-24D5-4E6E-AEB2-1FCB1A3BA129}</author>
    <author>tc={C77B03D7-DD8E-46F7-A84B-2C23186E598D}</author>
    <author>tc={8A40CE59-C7F2-4ECB-BA93-EC5F94674062}</author>
  </authors>
  <commentList>
    <comment ref="H22" authorId="0" shapeId="0" xr:uid="{0DA5FFEE-24D5-4E6E-AEB2-1FCB1A3BA12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Plafond de 5959€ par personne pensionnée</t>
      </text>
    </comment>
    <comment ref="G33" authorId="1" shapeId="0" xr:uid="{C77B03D7-DD8E-46F7-A84B-2C23186E59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Plafond de 10.000€ des niches fiscales commun avec les crédits d'impôt
Dons aux œuvres : Entre 66 et 75% des dépenses en fonction des organismes - Plafonné à 20% des revenus</t>
      </text>
    </comment>
    <comment ref="G34" authorId="2" shapeId="0" xr:uid="{8A40CE59-C7F2-4ECB-BA93-EC5F9467406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Plafond de 10.000€ des niches fiscales commun avec les réductions
Employés à domicile : 50% des dépenses plafonnées à 12.000€ (15.000€ pour la première année d'emploi) (soit 6000€ de CI ou 7500€ pour la première année d'emploi) + Majoration de 1.500€ par enfant ou personne de +65 ans à charge (dans la limite de deux majorations) (Soit 750€ de CI supplémentaire dans la limite de 2). Plafond total résumé : 7500€ de Crédit (9000€ la première année) AVEC LES MAJORATIONS 
Frais de garde extérieur : 50% des dépenses plafonnées à 2300€ par enfant (soit 1150€ de crédit d'impôt maxi)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tc={94D4351B-C691-4822-A824-E59C138FD2E5}</author>
    <author>tc={443C3DE1-196B-481D-95F0-46FF326E5F4A}</author>
    <author>tc={48BF648E-3C66-4799-8A9D-1D7FA1B72F48}</author>
    <author>tc={814A89F7-63D6-467D-A8B1-73D841DC5CB5}</author>
    <author>tc={CB178046-EA58-4FF9-9303-F9BF8E9C91B7}</author>
    <author>tc={819C6BD4-72C6-4C86-A432-831BAAAED677}</author>
    <author>tc={498510B1-0CEE-41DB-A6B7-9AF8F6D71DEC}</author>
    <author>tc={A337F14E-4CE7-4EC5-814E-56341E0D11F2}</author>
    <author>tc={ECF5F3FC-E91B-49A9-86C3-74B6FC103792}</author>
    <author>tc={E9D243D8-ADB8-423F-AAD9-285272419F84}</author>
    <author>tc={511323BF-172A-4F57-8BE4-417119F0FA98}</author>
    <author>tc={FB47D159-C280-4AE9-A356-A71610C023B1}</author>
  </authors>
  <commentList>
    <comment ref="I8" authorId="0" shapeId="0" xr:uid="{94D4351B-C691-4822-A824-E59C138FD2E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ATTENTION - Mensualité assurance comprise</t>
      </text>
    </comment>
    <comment ref="H13" authorId="1" shapeId="0" xr:uid="{443C3DE1-196B-481D-95F0-46FF326E5F4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ATTENTION - Mensualité assurance comprise</t>
      </text>
    </comment>
    <comment ref="I13" authorId="2" shapeId="0" xr:uid="{48BF648E-3C66-4799-8A9D-1D7FA1B72F4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Indiquez le loyer HORS CHARGE</t>
      </text>
    </comment>
    <comment ref="H14" authorId="3" shapeId="0" xr:uid="{814A89F7-63D6-467D-A8B1-73D841DC5C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ATTENTION - Mensualité assurance comprise</t>
      </text>
    </comment>
    <comment ref="I14" authorId="4" shapeId="0" xr:uid="{CB178046-EA58-4FF9-9303-F9BF8E9C91B7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Indiquez le loyer HORS CHARGE
</t>
      </text>
    </comment>
    <comment ref="H15" authorId="5" shapeId="0" xr:uid="{819C6BD4-72C6-4C86-A432-831BAAAED67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ATTENTION - Mensualité assurance comprise</t>
      </text>
    </comment>
    <comment ref="I15" authorId="6" shapeId="0" xr:uid="{498510B1-0CEE-41DB-A6B7-9AF8F6D71DEC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Indiquez le loyer HORS CHARGE
</t>
      </text>
    </comment>
    <comment ref="H16" authorId="7" shapeId="0" xr:uid="{A337F14E-4CE7-4EC5-814E-56341E0D11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ATTENTION - Mensualité assurance comprise</t>
      </text>
    </comment>
    <comment ref="I16" authorId="8" shapeId="0" xr:uid="{ECF5F3FC-E91B-49A9-86C3-74B6FC103792}">
      <text>
        <t xml:space="preserve"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Indiquez le loyer HORS CHARGE
</t>
      </text>
    </comment>
    <comment ref="B41" authorId="9" shapeId="0" xr:uid="{E9D243D8-ADB8-423F-AAD9-285272419F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Livrets, Comptes courants, CEL...</t>
      </text>
    </comment>
    <comment ref="B49" authorId="10" shapeId="0" xr:uid="{511323BF-172A-4F57-8BE4-417119F0FA9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PPE, PERCO, PERIN, Assurance-vie, PEL</t>
      </text>
    </comment>
    <comment ref="B56" authorId="11" shapeId="0" xr:uid="{FB47D159-C280-4AE9-A356-A71610C023B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Crypto, Actions en propre etc...</t>
      </text>
    </comment>
  </commentList>
</comments>
</file>

<file path=xl/sharedStrings.xml><?xml version="1.0" encoding="utf-8"?>
<sst xmlns="http://schemas.openxmlformats.org/spreadsheetml/2006/main" count="343" uniqueCount="237">
  <si>
    <t>AUDIT PATRIMONIAL</t>
  </si>
  <si>
    <t xml:space="preserve">GESTION PRIVÉ </t>
  </si>
  <si>
    <t>&amp;</t>
  </si>
  <si>
    <t>PERSONAL FINANCE</t>
  </si>
  <si>
    <t>ETAT CIVIL</t>
  </si>
  <si>
    <t>RÉMUNÉRATION</t>
  </si>
  <si>
    <t>M</t>
  </si>
  <si>
    <t>Stéphane BERAL</t>
  </si>
  <si>
    <t>Origine</t>
  </si>
  <si>
    <t>Brut</t>
  </si>
  <si>
    <t>Net</t>
  </si>
  <si>
    <t>Foncier</t>
  </si>
  <si>
    <t>Date de naissance</t>
  </si>
  <si>
    <t>11/11/1989 (33 ans)</t>
  </si>
  <si>
    <t>Salaires</t>
  </si>
  <si>
    <t>Micro-Foncier</t>
  </si>
  <si>
    <t>Profession et ancienneté</t>
  </si>
  <si>
    <t>Ingénieur Nucléaire - 10 ans</t>
  </si>
  <si>
    <t>Dividendes</t>
  </si>
  <si>
    <t>Type de contrat/Société</t>
  </si>
  <si>
    <t>CDI - EDF</t>
  </si>
  <si>
    <t>BNC/BA</t>
  </si>
  <si>
    <t>Imposition</t>
  </si>
  <si>
    <t>10%</t>
  </si>
  <si>
    <t>Mme.</t>
  </si>
  <si>
    <t>Mélanie BOLLON</t>
  </si>
  <si>
    <t>33 ans</t>
  </si>
  <si>
    <t>Sans emploi</t>
  </si>
  <si>
    <t xml:space="preserve">Situation maritale </t>
  </si>
  <si>
    <t>Pacsé</t>
  </si>
  <si>
    <t>Autres revenus</t>
  </si>
  <si>
    <t>Montant Brut</t>
  </si>
  <si>
    <t>Imposable</t>
  </si>
  <si>
    <t xml:space="preserve">Régime matrimonial </t>
  </si>
  <si>
    <t>Régime Légal du PACS</t>
  </si>
  <si>
    <t>Situation particulière</t>
  </si>
  <si>
    <t>LMNP</t>
  </si>
  <si>
    <t>Garde</t>
  </si>
  <si>
    <t>Pensions reçues</t>
  </si>
  <si>
    <t>REVENUS NETS</t>
  </si>
  <si>
    <t>CONTACTS</t>
  </si>
  <si>
    <t>Mail</t>
  </si>
  <si>
    <t>stephane.beral@gadz.org</t>
  </si>
  <si>
    <t>Téléphone</t>
  </si>
  <si>
    <t>06 44 34 12 15</t>
  </si>
  <si>
    <t>ENFANTS</t>
  </si>
  <si>
    <t>IMPOSITION</t>
  </si>
  <si>
    <t>Prénoms</t>
  </si>
  <si>
    <t>Age</t>
  </si>
  <si>
    <t>Commentaire</t>
  </si>
  <si>
    <t>RIG</t>
  </si>
  <si>
    <t>TMI</t>
  </si>
  <si>
    <t>Nolan</t>
  </si>
  <si>
    <t>7 ans</t>
  </si>
  <si>
    <t>Impôt sur le revenu</t>
  </si>
  <si>
    <t>Clara</t>
  </si>
  <si>
    <t>4 ans</t>
  </si>
  <si>
    <t>Impôt social foncier</t>
  </si>
  <si>
    <t>Taux moyen</t>
  </si>
  <si>
    <t>Déductions fiscales</t>
  </si>
  <si>
    <t>Réductions d'impôts</t>
  </si>
  <si>
    <t>Enfants à charge</t>
  </si>
  <si>
    <t>Crédits d'impot</t>
  </si>
  <si>
    <t>Estimations sur la base de vos assertions</t>
  </si>
  <si>
    <t>Complète</t>
  </si>
  <si>
    <t>Alternée</t>
  </si>
  <si>
    <t>Régime légal : Communauté réduite aux acquets</t>
  </si>
  <si>
    <t>SI(ET(C17="Marié-Pacsé";'Calcul IR 2'!I39='Calcul IR 2'!I37);SI('Calcul IR 2'!J3&gt;='Calcul IR 2'!C37;'Calcul IR 2'!D38;SI('Calcul IR 2'!J23&gt;='Calcul IR 2'!C36;'Calcul IR 2'!D37;SI('Calcul IR 2'!J3&gt;='Calcul IR 2'!C35;'Calcul IR 2'!D36;SI('Calcul IR 2'!J3&gt;='Calcul IR 2'!C33;'Calcul IR 2'!D34;0%))));SI(ET(C17="Célibataire-Divorcé-Veuf";'Calcul IR 2'!I20='Calcul IR 2'!I17);SI('Calcul IR 2'!J3&gt;='Calcul IR 2'!C8;'Calcul IR 2'!D9;SI('Calcul IR 2'!J3&gt;='Calcul IR 2'!C7;'Calcul IR 2'!D8;SI('Calcul IR 2'!J3&gt;='Calcul IR 2'!C6;'Calcul IR 2'!D7;SI('Calcul IR 2'!J3&gt;='Calcul IR 2'!C5;'Calcul IR 2'!D6;0%))));SI('Calcul IR 2'!J3&gt;='Calcul IR 2'!C28;'Calcul IR 2'!D29;SI('Calcul IR 2'!J23&gt;='Calcul IR 2'!C27;'Calcul IR 2'!D28;SI('Calcul IR 2'!J3&gt;='Calcul IR 2'!C26;'Calcul IR 2'!D27;SI('Calcul IR 2'!J3&gt;='Calcul IR 2'!C25;'Calcul IR 2'!D26;0%))))))</t>
  </si>
  <si>
    <t>Communauté universelle</t>
  </si>
  <si>
    <t>Ci-dessus : formule correcte de détermination de la TMI</t>
  </si>
  <si>
    <t>Séparation de biens</t>
  </si>
  <si>
    <t>Séparation avec Sté d'acquêt</t>
  </si>
  <si>
    <t>Frais réels</t>
  </si>
  <si>
    <t>Séparation avec Part aux acquêts</t>
  </si>
  <si>
    <t>Indivision Pacsale</t>
  </si>
  <si>
    <t>SITUATION PATRIMONIALE</t>
  </si>
  <si>
    <t>PATRIMOINE IMMOBILIER</t>
  </si>
  <si>
    <t>Résidence
Principale</t>
  </si>
  <si>
    <t>Localisation</t>
  </si>
  <si>
    <t>Date Acq.</t>
  </si>
  <si>
    <t>Valorisation</t>
  </si>
  <si>
    <t>Emprunt</t>
  </si>
  <si>
    <t>Durée</t>
  </si>
  <si>
    <t>Mensualité / Loyer</t>
  </si>
  <si>
    <t>LA HAGUE</t>
  </si>
  <si>
    <t>5 ans</t>
  </si>
  <si>
    <t>AUTRE BIENS</t>
  </si>
  <si>
    <t xml:space="preserve">Biens </t>
  </si>
  <si>
    <t>Date fin</t>
  </si>
  <si>
    <t>Mensualité</t>
  </si>
  <si>
    <t>Loyer</t>
  </si>
  <si>
    <t>Rentabilité</t>
  </si>
  <si>
    <t>AUTRE EMPRUNTS</t>
  </si>
  <si>
    <t>Destination</t>
  </si>
  <si>
    <t>Montant</t>
  </si>
  <si>
    <t>Taux</t>
  </si>
  <si>
    <t>PROJETS</t>
  </si>
  <si>
    <t>Type</t>
  </si>
  <si>
    <t>Date</t>
  </si>
  <si>
    <t>Investissement</t>
  </si>
  <si>
    <t>TAUX D'ENDETTEMENT ACTUEL</t>
  </si>
  <si>
    <t>SYNTHÉSE - PATRIMOINE IMMOBILIER</t>
  </si>
  <si>
    <t>% du Patrimoine</t>
  </si>
  <si>
    <t>PATRIMOINE FINANCIER</t>
  </si>
  <si>
    <t>NOM</t>
  </si>
  <si>
    <t>Valeur</t>
  </si>
  <si>
    <t>Risque (1-7)</t>
  </si>
  <si>
    <t>Disponible</t>
  </si>
  <si>
    <t>Organisme</t>
  </si>
  <si>
    <t>Ouverture</t>
  </si>
  <si>
    <t>Objectif</t>
  </si>
  <si>
    <t>Liquidités</t>
  </si>
  <si>
    <t>Livret Bleu</t>
  </si>
  <si>
    <t>Livret A Enfants</t>
  </si>
  <si>
    <t>LDD</t>
  </si>
  <si>
    <t>Placements financiers</t>
  </si>
  <si>
    <t>PEE EDF</t>
  </si>
  <si>
    <t>Autres</t>
  </si>
  <si>
    <t>SYNTHÉSE - PATRIMOINE FINANCIER</t>
  </si>
  <si>
    <t>% Total</t>
  </si>
  <si>
    <t>Plac. Fin.</t>
  </si>
  <si>
    <t>PATRIMOINE GLOBAL</t>
  </si>
  <si>
    <t>CAPACITE INVESTISSEMENT</t>
  </si>
  <si>
    <t>PREVISION A LA RETRAITE</t>
  </si>
  <si>
    <t>Résidence Principale</t>
  </si>
  <si>
    <t>Charges</t>
  </si>
  <si>
    <t>Loyer payé</t>
  </si>
  <si>
    <t>BORDEAUX</t>
  </si>
  <si>
    <t>Bien</t>
  </si>
  <si>
    <t>Loyer perçu</t>
  </si>
  <si>
    <t>CESTAS</t>
  </si>
  <si>
    <t>SITUATION FINANCIERE</t>
  </si>
  <si>
    <t>Coef remplacement</t>
  </si>
  <si>
    <t>Parts Fiscales</t>
  </si>
  <si>
    <t xml:space="preserve">Revenus Nets </t>
  </si>
  <si>
    <t>Impôt</t>
  </si>
  <si>
    <t>Charges existantes</t>
  </si>
  <si>
    <t>Train de vie à la retraite</t>
  </si>
  <si>
    <t>Différence avec le train de vie actuel</t>
  </si>
  <si>
    <t>Calcul TDV</t>
  </si>
  <si>
    <t>PATRIMOINE SOCIAL</t>
  </si>
  <si>
    <t>SCI</t>
  </si>
  <si>
    <t>Loyers</t>
  </si>
  <si>
    <t>Montant du prêt</t>
  </si>
  <si>
    <t>Date début</t>
  </si>
  <si>
    <t>Rapport locatif Brut</t>
  </si>
  <si>
    <t>SASU</t>
  </si>
  <si>
    <t>PRINCIPAUX OBJECTIFS</t>
  </si>
  <si>
    <t>EFFORT D'EPARGNE MENSUEL</t>
  </si>
  <si>
    <t>OBJECTIFS</t>
  </si>
  <si>
    <t>Types</t>
  </si>
  <si>
    <t>Montant nécéssaire</t>
  </si>
  <si>
    <t>Durée restante</t>
  </si>
  <si>
    <t>Préparer</t>
  </si>
  <si>
    <t>LT</t>
  </si>
  <si>
    <t>Préparer les différentes échéances (études de enfants, retraite…)</t>
  </si>
  <si>
    <t>Construction</t>
  </si>
  <si>
    <t>Construire un patrimoine immobilier</t>
  </si>
  <si>
    <t>Fiscal</t>
  </si>
  <si>
    <t>NC</t>
  </si>
  <si>
    <t>Diminuer la pression fiscale</t>
  </si>
  <si>
    <t>PRINCIPALES ÉCHÉANCES FINANCIÈRES</t>
  </si>
  <si>
    <t>Etudes Nolan</t>
  </si>
  <si>
    <t>11 ans</t>
  </si>
  <si>
    <t>Etudes Clara</t>
  </si>
  <si>
    <t>14 ans</t>
  </si>
  <si>
    <t>LES POINTS FORTS DANS LES CHOIX DE LA SOLUTION</t>
  </si>
  <si>
    <r>
      <t xml:space="preserve">Revenus permanents et réguliers </t>
    </r>
    <r>
      <rPr>
        <b/>
        <u/>
        <sz val="12"/>
        <color theme="0"/>
        <rFont val="Calibri"/>
        <family val="2"/>
        <scheme val="minor"/>
      </rPr>
      <t>pendant encore 20 ans</t>
    </r>
  </si>
  <si>
    <r>
      <t xml:space="preserve">Investissement faisant appel à </t>
    </r>
    <r>
      <rPr>
        <b/>
        <u/>
        <sz val="12"/>
        <color theme="0"/>
        <rFont val="Calibri"/>
        <family val="2"/>
        <scheme val="minor"/>
      </rPr>
      <t>l'effet de levier de l'emprunt</t>
    </r>
  </si>
  <si>
    <r>
      <t>Volonté de créer un</t>
    </r>
    <r>
      <rPr>
        <b/>
        <u/>
        <sz val="12"/>
        <color theme="0"/>
        <rFont val="Calibri"/>
        <family val="2"/>
        <scheme val="minor"/>
      </rPr>
      <t xml:space="preserve"> capital et des rentes à long terme</t>
    </r>
  </si>
  <si>
    <r>
      <t xml:space="preserve">Capacité d'épargne et horizon d'investissement </t>
    </r>
    <r>
      <rPr>
        <b/>
        <u/>
        <sz val="12"/>
        <color theme="0"/>
        <rFont val="Calibri"/>
        <family val="2"/>
        <scheme val="minor"/>
      </rPr>
      <t>sur plus de dix ans</t>
    </r>
  </si>
  <si>
    <t>COMMENTAIRE SUIVI</t>
  </si>
  <si>
    <t>CELIBATAIRE CONCUBINAGE DIVORCE VEUF</t>
  </si>
  <si>
    <t>TMI 2019 SEUL</t>
  </si>
  <si>
    <t>Revenu net imposable</t>
  </si>
  <si>
    <t>Nombre de part</t>
  </si>
  <si>
    <t>Parent isolé (T)</t>
  </si>
  <si>
    <t>Enfant élevé seul (L)</t>
  </si>
  <si>
    <t>Invalidité</t>
  </si>
  <si>
    <t>Calcul Plafond IR</t>
  </si>
  <si>
    <t>IR une part</t>
  </si>
  <si>
    <t>IR selon parts</t>
  </si>
  <si>
    <t>Case T (parent isolé)</t>
  </si>
  <si>
    <t>Case L (Enfant élevé seul 5A)</t>
  </si>
  <si>
    <t>Handicap/Invalidité</t>
  </si>
  <si>
    <t>PLAFOND DES QUOTIENTS FAMILIAUX</t>
  </si>
  <si>
    <t>Demi-parts au dessus de un</t>
  </si>
  <si>
    <t>Demi-part générale (Plafond 2020)</t>
  </si>
  <si>
    <t>IR plafonné</t>
  </si>
  <si>
    <t>Célibataire-Divorcé-Veuf</t>
  </si>
  <si>
    <t>Personnes seules élevé pendant cinq ans</t>
  </si>
  <si>
    <t>Part entière premier enfant charge si on élève seul</t>
  </si>
  <si>
    <t>Invalidité, combattant</t>
  </si>
  <si>
    <t>Impôt retenu</t>
  </si>
  <si>
    <t>Maintien quotient conjugal veuf</t>
  </si>
  <si>
    <t>Décôte</t>
  </si>
  <si>
    <t>Impôt final</t>
  </si>
  <si>
    <t>TMI 2019 avec parts</t>
  </si>
  <si>
    <t>Marié-Pacsé</t>
  </si>
  <si>
    <t>COUPLE PACS</t>
  </si>
  <si>
    <t>Impot MAX Tranche</t>
  </si>
  <si>
    <t>Plafond impot/tranche</t>
  </si>
  <si>
    <t>IR deux parts</t>
  </si>
  <si>
    <t>Handicap</t>
  </si>
  <si>
    <t>Demi-parts au dessus de deux</t>
  </si>
  <si>
    <t>Simulateur de l'impôt 2020 sur les revenus 2019</t>
  </si>
  <si>
    <t>https://www.corrigetonimpot.fr/</t>
  </si>
  <si>
    <t>Remplir les cases bleues uniquement!</t>
  </si>
  <si>
    <t>Situation familiale</t>
  </si>
  <si>
    <t>Nombre d'enfants à charge</t>
  </si>
  <si>
    <t>La case L et la case T ne sont pas possibles si vous êtes mariés/pacsés. Cliquez ici pour lire notre article expliquant si vous pouvez bénéficiez de l'avantage fiscal pour la case T ou la case L si vous vivez seul.</t>
  </si>
  <si>
    <t>Revenu net imposable (RNI)</t>
  </si>
  <si>
    <t>Le revenu imposable est le revenu après avoir enlevé les déductions ("salaires - 10%/frais réels"; "loyers - abattements"; "dividendes - 40%"...). Ce n'est pas le revenu fiscal de référence. Retrouvez le détail du RNI sur cet article.</t>
  </si>
  <si>
    <t>Nombre de parts</t>
  </si>
  <si>
    <t>Impôt avant décôte</t>
  </si>
  <si>
    <t>Si votre impôt est inférieur à 1 717 € (personne seule) ou 2 842 € (couple), une décote est appliquée avant l'impôt final.</t>
  </si>
  <si>
    <t>Les réductions et crédits d'impôt s'imputeront sur l'impôt final en rouge. Si vous avez un revenu fiscal de référence inférieur à 20 800 € environ (41 400 € pour un couple), un abattement supplémentaire de l'ordre de 20% s'appliquera.</t>
  </si>
  <si>
    <t>CELIBATAIRE DIVORCE VEUF</t>
  </si>
  <si>
    <t>TMI 2019</t>
  </si>
  <si>
    <t>nombre de part</t>
  </si>
  <si>
    <t>Ir une part</t>
  </si>
  <si>
    <t>Plafonnement quotient familial</t>
  </si>
  <si>
    <t>Ir selon parts</t>
  </si>
  <si>
    <t>Case T</t>
  </si>
  <si>
    <t>Case L</t>
  </si>
  <si>
    <t>demi-parts au dessus de un</t>
  </si>
  <si>
    <t>demi-part générale (Plafond 2020)</t>
  </si>
  <si>
    <t>part entière premier enfant charge si on élève seul</t>
  </si>
  <si>
    <t>invalidité, combattant</t>
  </si>
  <si>
    <t>maintien quotient conjugal veuf</t>
  </si>
  <si>
    <t>Ir deux parts</t>
  </si>
  <si>
    <t>demi-parts au dessus de deux</t>
  </si>
  <si>
    <t>Si votre impôt est inférieur à 1 611 € (personne seule) ou 2 653 € (couple), une décote est appliquée avant l'impôt final.</t>
  </si>
  <si>
    <t>credit finit en novembre 2026</t>
  </si>
  <si>
    <t xml:space="preserve">scpi PV, PP et TE </t>
  </si>
  <si>
    <t xml:space="preserve">Livret A </t>
  </si>
  <si>
    <t>Sécurité + Voiture (dans 2 ans)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</si>
</sst>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#,##0\ &quot;€&quot;"/>
    <numFmt numFmtId="165" formatCode="_-* #,##0\ &quot;€&quot;_-;\-* #,##0\ &quot;€&quot;_-;_-* &quot;-&quot;??\ &quot;€&quot;_-;_-@_-"/>
    <numFmt numFmtId="166" formatCode="#,##0.00\ &quot;€&quot;"/>
    <numFmt numFmtId="167" formatCode="0.0%"/>
  </numFmts>
  <fonts count="4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b/>
      <sz val="16"/>
      <color rgb="FFA17B6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213444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2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60"/>
      <color theme="0" tint="-4.9989318521683403E-2"/>
      <name val="Calibri"/>
      <family val="2"/>
      <scheme val="minor"/>
    </font>
    <font>
      <sz val="60"/>
      <color theme="0" tint="-4.9989318521683403E-2"/>
      <name val="Calibri"/>
      <family val="2"/>
      <scheme val="minor"/>
    </font>
    <font>
      <b/>
      <sz val="12"/>
      <color theme="4"/>
      <name val="Calibri"/>
      <family val="2"/>
      <scheme val="minor"/>
    </font>
    <font>
      <i/>
      <sz val="14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sz val="18"/>
      <color rgb="FF002060"/>
      <name val="Calibri"/>
      <family val="2"/>
      <scheme val="minor"/>
    </font>
    <font>
      <b/>
      <sz val="12"/>
      <color rgb="FFDFC341"/>
      <name val="Calibri"/>
      <family val="2"/>
      <scheme val="minor"/>
    </font>
    <font>
      <b/>
      <sz val="22"/>
      <color rgb="FF213444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i/>
      <sz val="8"/>
      <color theme="0"/>
      <name val="Calibri"/>
      <family val="2"/>
      <scheme val="minor"/>
    </font>
    <font>
      <b/>
      <i/>
      <sz val="12"/>
      <color rgb="FFFFFF00"/>
      <name val="Calibri"/>
      <family val="2"/>
      <scheme val="minor"/>
    </font>
    <font>
      <b/>
      <sz val="16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A17B64"/>
        <bgColor indexed="64"/>
      </patternFill>
    </fill>
    <fill>
      <patternFill patternType="solid">
        <fgColor rgb="FF8393BA"/>
        <bgColor indexed="64"/>
      </patternFill>
    </fill>
    <fill>
      <patternFill patternType="solid">
        <fgColor rgb="FF21344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DFC34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88A3BE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0" fontId="18" fillId="0" borderId="0" applyNumberFormat="0" applyFill="0" applyBorder="0" applyAlignment="0" applyProtection="0"/>
    <xf numFmtId="0" fontId="42" fillId="0" borderId="0" applyNumberFormat="0" applyFill="0" applyBorder="0" applyAlignment="0" applyProtection="0"/>
  </cellStyleXfs>
  <cellXfs count="533">
    <xf numFmtId="0" fontId="0" fillId="0" borderId="0" xfId="0"/>
    <xf numFmtId="0" fontId="4" fillId="0" borderId="0" xfId="0" applyFont="1"/>
    <xf numFmtId="0" fontId="0" fillId="0" borderId="0" xfId="0" applyAlignment="1">
      <alignment horizontal="center" vertical="center"/>
    </xf>
    <xf numFmtId="0" fontId="0" fillId="9" borderId="0" xfId="0" applyFill="1"/>
    <xf numFmtId="44" fontId="0" fillId="0" borderId="0" xfId="1" applyFont="1" applyBorder="1" applyAlignment="1">
      <alignment horizontal="center" vertical="center"/>
    </xf>
    <xf numFmtId="0" fontId="6" fillId="0" borderId="0" xfId="0" applyFont="1"/>
    <xf numFmtId="49" fontId="0" fillId="0" borderId="0" xfId="0" applyNumberFormat="1"/>
    <xf numFmtId="0" fontId="4" fillId="0" borderId="11" xfId="0" applyFont="1" applyBorder="1"/>
    <xf numFmtId="44" fontId="0" fillId="7" borderId="12" xfId="1" applyFont="1" applyFill="1" applyBorder="1"/>
    <xf numFmtId="44" fontId="0" fillId="6" borderId="12" xfId="1" applyFont="1" applyFill="1" applyBorder="1" applyProtection="1">
      <protection locked="0"/>
    </xf>
    <xf numFmtId="44" fontId="0" fillId="6" borderId="1" xfId="1" applyFont="1" applyFill="1" applyBorder="1" applyProtection="1">
      <protection locked="0"/>
    </xf>
    <xf numFmtId="0" fontId="11" fillId="0" borderId="0" xfId="3" applyFont="1" applyProtection="1">
      <protection hidden="1"/>
    </xf>
    <xf numFmtId="0" fontId="1" fillId="10" borderId="0" xfId="5" applyFill="1" applyProtection="1">
      <protection hidden="1"/>
    </xf>
    <xf numFmtId="0" fontId="1" fillId="10" borderId="17" xfId="5" applyFill="1" applyBorder="1" applyProtection="1">
      <protection hidden="1"/>
    </xf>
    <xf numFmtId="0" fontId="22" fillId="10" borderId="17" xfId="5" applyFont="1" applyFill="1" applyBorder="1" applyAlignment="1" applyProtection="1">
      <alignment horizontal="left" vertical="center"/>
      <protection hidden="1"/>
    </xf>
    <xf numFmtId="0" fontId="1" fillId="10" borderId="0" xfId="5" applyFill="1" applyAlignment="1" applyProtection="1">
      <alignment horizontal="left" vertical="center"/>
      <protection hidden="1"/>
    </xf>
    <xf numFmtId="0" fontId="23" fillId="11" borderId="1" xfId="5" applyFont="1" applyFill="1" applyBorder="1" applyAlignment="1" applyProtection="1">
      <alignment horizontal="center" vertical="center"/>
      <protection locked="0" hidden="1"/>
    </xf>
    <xf numFmtId="0" fontId="1" fillId="10" borderId="18" xfId="5" applyFill="1" applyBorder="1" applyProtection="1">
      <protection hidden="1"/>
    </xf>
    <xf numFmtId="0" fontId="23" fillId="11" borderId="42" xfId="5" applyFont="1" applyFill="1" applyBorder="1" applyAlignment="1" applyProtection="1">
      <alignment horizontal="center" vertical="center"/>
      <protection locked="0" hidden="1"/>
    </xf>
    <xf numFmtId="0" fontId="23" fillId="10" borderId="0" xfId="5" applyFont="1" applyFill="1" applyAlignment="1" applyProtection="1">
      <alignment horizontal="center" vertical="center"/>
      <protection hidden="1"/>
    </xf>
    <xf numFmtId="0" fontId="10" fillId="10" borderId="17" xfId="5" applyFont="1" applyFill="1" applyBorder="1" applyAlignment="1" applyProtection="1">
      <alignment horizontal="left" vertical="center"/>
      <protection hidden="1"/>
    </xf>
    <xf numFmtId="0" fontId="1" fillId="10" borderId="0" xfId="5" applyFill="1" applyAlignment="1" applyProtection="1">
      <alignment horizontal="center" vertical="center"/>
      <protection hidden="1"/>
    </xf>
    <xf numFmtId="0" fontId="12" fillId="10" borderId="17" xfId="5" applyFont="1" applyFill="1" applyBorder="1" applyAlignment="1" applyProtection="1">
      <alignment horizontal="left" vertical="center"/>
      <protection hidden="1"/>
    </xf>
    <xf numFmtId="0" fontId="24" fillId="10" borderId="0" xfId="5" applyFont="1" applyFill="1" applyAlignment="1" applyProtection="1">
      <alignment horizontal="left" vertical="center"/>
      <protection hidden="1"/>
    </xf>
    <xf numFmtId="0" fontId="12" fillId="10" borderId="0" xfId="5" applyFont="1" applyFill="1" applyAlignment="1" applyProtection="1">
      <alignment horizontal="center" vertical="center"/>
      <protection hidden="1"/>
    </xf>
    <xf numFmtId="0" fontId="25" fillId="10" borderId="17" xfId="5" applyFont="1" applyFill="1" applyBorder="1" applyAlignment="1" applyProtection="1">
      <alignment horizontal="left" vertical="center"/>
      <protection hidden="1"/>
    </xf>
    <xf numFmtId="0" fontId="25" fillId="10" borderId="0" xfId="5" applyFont="1" applyFill="1" applyAlignment="1" applyProtection="1">
      <alignment horizontal="left" vertical="center"/>
      <protection hidden="1"/>
    </xf>
    <xf numFmtId="0" fontId="27" fillId="10" borderId="17" xfId="5" applyFont="1" applyFill="1" applyBorder="1" applyAlignment="1" applyProtection="1">
      <alignment horizontal="left" vertical="center"/>
      <protection hidden="1"/>
    </xf>
    <xf numFmtId="0" fontId="27" fillId="10" borderId="0" xfId="5" applyFont="1" applyFill="1" applyAlignment="1" applyProtection="1">
      <alignment horizontal="left" vertical="center"/>
      <protection hidden="1"/>
    </xf>
    <xf numFmtId="164" fontId="27" fillId="10" borderId="0" xfId="5" applyNumberFormat="1" applyFont="1" applyFill="1" applyAlignment="1" applyProtection="1">
      <alignment horizontal="center" vertical="center"/>
      <protection hidden="1"/>
    </xf>
    <xf numFmtId="0" fontId="1" fillId="10" borderId="19" xfId="5" applyFill="1" applyBorder="1" applyProtection="1">
      <protection hidden="1"/>
    </xf>
    <xf numFmtId="0" fontId="1" fillId="10" borderId="20" xfId="5" applyFill="1" applyBorder="1" applyProtection="1">
      <protection hidden="1"/>
    </xf>
    <xf numFmtId="0" fontId="1" fillId="10" borderId="21" xfId="5" applyFill="1" applyBorder="1" applyProtection="1">
      <protection hidden="1"/>
    </xf>
    <xf numFmtId="44" fontId="25" fillId="10" borderId="0" xfId="1" applyFont="1" applyFill="1" applyAlignment="1" applyProtection="1">
      <alignment horizontal="center" vertical="center"/>
      <protection hidden="1"/>
    </xf>
    <xf numFmtId="0" fontId="11" fillId="6" borderId="15" xfId="3" applyFont="1" applyFill="1" applyBorder="1" applyProtection="1">
      <protection hidden="1"/>
    </xf>
    <xf numFmtId="0" fontId="11" fillId="6" borderId="16" xfId="3" applyFont="1" applyFill="1" applyBorder="1" applyProtection="1">
      <protection hidden="1"/>
    </xf>
    <xf numFmtId="0" fontId="11" fillId="6" borderId="0" xfId="3" applyFont="1" applyFill="1" applyProtection="1">
      <protection hidden="1"/>
    </xf>
    <xf numFmtId="0" fontId="11" fillId="6" borderId="18" xfId="3" applyFont="1" applyFill="1" applyBorder="1" applyProtection="1">
      <protection hidden="1"/>
    </xf>
    <xf numFmtId="0" fontId="11" fillId="6" borderId="19" xfId="3" applyFont="1" applyFill="1" applyBorder="1" applyProtection="1">
      <protection hidden="1"/>
    </xf>
    <xf numFmtId="0" fontId="11" fillId="6" borderId="20" xfId="3" applyFont="1" applyFill="1" applyBorder="1" applyProtection="1">
      <protection hidden="1"/>
    </xf>
    <xf numFmtId="0" fontId="11" fillId="6" borderId="21" xfId="3" applyFont="1" applyFill="1" applyBorder="1" applyProtection="1">
      <protection hidden="1"/>
    </xf>
    <xf numFmtId="0" fontId="11" fillId="0" borderId="18" xfId="3" applyFont="1" applyBorder="1" applyProtection="1">
      <protection hidden="1"/>
    </xf>
    <xf numFmtId="0" fontId="11" fillId="13" borderId="6" xfId="3" applyFont="1" applyFill="1" applyBorder="1" applyProtection="1">
      <protection hidden="1"/>
    </xf>
    <xf numFmtId="0" fontId="11" fillId="13" borderId="7" xfId="3" applyFont="1" applyFill="1" applyBorder="1" applyProtection="1">
      <protection hidden="1"/>
    </xf>
    <xf numFmtId="0" fontId="11" fillId="13" borderId="8" xfId="3" applyFont="1" applyFill="1" applyBorder="1" applyProtection="1">
      <protection hidden="1"/>
    </xf>
    <xf numFmtId="44" fontId="11" fillId="13" borderId="9" xfId="1" applyFont="1" applyFill="1" applyBorder="1" applyProtection="1">
      <protection hidden="1"/>
    </xf>
    <xf numFmtId="44" fontId="11" fillId="13" borderId="1" xfId="1" applyFont="1" applyFill="1" applyBorder="1" applyProtection="1">
      <protection hidden="1"/>
    </xf>
    <xf numFmtId="44" fontId="11" fillId="13" borderId="10" xfId="1" applyFont="1" applyFill="1" applyBorder="1" applyProtection="1">
      <protection hidden="1"/>
    </xf>
    <xf numFmtId="0" fontId="11" fillId="13" borderId="11" xfId="3" applyFont="1" applyFill="1" applyBorder="1" applyProtection="1">
      <protection hidden="1"/>
    </xf>
    <xf numFmtId="0" fontId="11" fillId="13" borderId="12" xfId="3" applyFont="1" applyFill="1" applyBorder="1" applyProtection="1">
      <protection hidden="1"/>
    </xf>
    <xf numFmtId="0" fontId="11" fillId="13" borderId="13" xfId="3" applyFont="1" applyFill="1" applyBorder="1" applyProtection="1">
      <protection hidden="1"/>
    </xf>
    <xf numFmtId="9" fontId="16" fillId="13" borderId="1" xfId="4" applyFont="1" applyFill="1" applyBorder="1" applyAlignment="1" applyProtection="1">
      <alignment horizontal="center" vertical="center"/>
      <protection hidden="1"/>
    </xf>
    <xf numFmtId="9" fontId="16" fillId="13" borderId="12" xfId="4" applyFont="1" applyFill="1" applyBorder="1" applyAlignment="1" applyProtection="1">
      <alignment horizontal="center" vertical="center"/>
      <protection hidden="1"/>
    </xf>
    <xf numFmtId="0" fontId="16" fillId="12" borderId="31" xfId="3" applyFont="1" applyFill="1" applyBorder="1" applyAlignment="1" applyProtection="1">
      <alignment horizontal="center"/>
      <protection hidden="1"/>
    </xf>
    <xf numFmtId="0" fontId="16" fillId="12" borderId="34" xfId="3" applyFont="1" applyFill="1" applyBorder="1" applyAlignment="1" applyProtection="1">
      <alignment horizontal="center"/>
      <protection hidden="1"/>
    </xf>
    <xf numFmtId="44" fontId="11" fillId="13" borderId="6" xfId="1" applyFont="1" applyFill="1" applyBorder="1" applyProtection="1">
      <protection hidden="1"/>
    </xf>
    <xf numFmtId="44" fontId="11" fillId="13" borderId="7" xfId="1" applyFont="1" applyFill="1" applyBorder="1" applyProtection="1">
      <protection hidden="1"/>
    </xf>
    <xf numFmtId="44" fontId="11" fillId="13" borderId="8" xfId="1" applyFont="1" applyFill="1" applyBorder="1" applyProtection="1">
      <protection hidden="1"/>
    </xf>
    <xf numFmtId="9" fontId="16" fillId="13" borderId="7" xfId="4" applyFont="1" applyFill="1" applyBorder="1" applyAlignment="1" applyProtection="1">
      <alignment horizontal="center" vertical="center"/>
      <protection hidden="1"/>
    </xf>
    <xf numFmtId="0" fontId="16" fillId="13" borderId="7" xfId="3" applyFont="1" applyFill="1" applyBorder="1" applyAlignment="1" applyProtection="1">
      <alignment horizontal="center" vertical="center"/>
      <protection hidden="1"/>
    </xf>
    <xf numFmtId="0" fontId="11" fillId="5" borderId="13" xfId="3" applyFont="1" applyFill="1" applyBorder="1" applyProtection="1">
      <protection hidden="1"/>
    </xf>
    <xf numFmtId="0" fontId="11" fillId="5" borderId="22" xfId="3" applyFont="1" applyFill="1" applyBorder="1" applyProtection="1">
      <protection hidden="1"/>
    </xf>
    <xf numFmtId="0" fontId="11" fillId="5" borderId="23" xfId="3" applyFont="1" applyFill="1" applyBorder="1" applyProtection="1">
      <protection hidden="1"/>
    </xf>
    <xf numFmtId="0" fontId="16" fillId="8" borderId="39" xfId="3" applyFont="1" applyFill="1" applyBorder="1" applyAlignment="1" applyProtection="1">
      <alignment horizontal="center" vertical="center"/>
      <protection hidden="1"/>
    </xf>
    <xf numFmtId="0" fontId="16" fillId="8" borderId="44" xfId="3" applyFont="1" applyFill="1" applyBorder="1" applyAlignment="1" applyProtection="1">
      <alignment horizontal="center" vertical="center"/>
      <protection hidden="1"/>
    </xf>
    <xf numFmtId="165" fontId="11" fillId="14" borderId="8" xfId="1" applyNumberFormat="1" applyFont="1" applyFill="1" applyBorder="1" applyProtection="1">
      <protection hidden="1"/>
    </xf>
    <xf numFmtId="165" fontId="11" fillId="14" borderId="10" xfId="1" applyNumberFormat="1" applyFont="1" applyFill="1" applyBorder="1" applyProtection="1">
      <protection hidden="1"/>
    </xf>
    <xf numFmtId="0" fontId="11" fillId="14" borderId="10" xfId="3" applyFont="1" applyFill="1" applyBorder="1" applyProtection="1">
      <protection hidden="1"/>
    </xf>
    <xf numFmtId="165" fontId="11" fillId="14" borderId="13" xfId="1" applyNumberFormat="1" applyFont="1" applyFill="1" applyBorder="1" applyProtection="1">
      <protection hidden="1"/>
    </xf>
    <xf numFmtId="0" fontId="29" fillId="8" borderId="6" xfId="3" applyFont="1" applyFill="1" applyBorder="1" applyAlignment="1" applyProtection="1">
      <alignment horizontal="center" vertical="center"/>
      <protection hidden="1"/>
    </xf>
    <xf numFmtId="0" fontId="29" fillId="8" borderId="9" xfId="3" applyFont="1" applyFill="1" applyBorder="1" applyAlignment="1" applyProtection="1">
      <alignment horizontal="center" vertical="center"/>
      <protection hidden="1"/>
    </xf>
    <xf numFmtId="0" fontId="29" fillId="8" borderId="11" xfId="3" applyFont="1" applyFill="1" applyBorder="1" applyAlignment="1" applyProtection="1">
      <alignment horizontal="center" vertical="center"/>
      <protection hidden="1"/>
    </xf>
    <xf numFmtId="0" fontId="29" fillId="8" borderId="6" xfId="3" applyFont="1" applyFill="1" applyBorder="1" applyAlignment="1" applyProtection="1">
      <alignment horizontal="center"/>
      <protection hidden="1"/>
    </xf>
    <xf numFmtId="0" fontId="29" fillId="8" borderId="9" xfId="3" applyFont="1" applyFill="1" applyBorder="1" applyAlignment="1" applyProtection="1">
      <alignment horizontal="center"/>
      <protection hidden="1"/>
    </xf>
    <xf numFmtId="0" fontId="29" fillId="8" borderId="11" xfId="3" applyFont="1" applyFill="1" applyBorder="1" applyAlignment="1" applyProtection="1">
      <alignment horizontal="center"/>
      <protection hidden="1"/>
    </xf>
    <xf numFmtId="165" fontId="11" fillId="5" borderId="8" xfId="1" applyNumberFormat="1" applyFont="1" applyFill="1" applyBorder="1" applyAlignment="1" applyProtection="1">
      <alignment horizontal="left" indent="1"/>
      <protection hidden="1"/>
    </xf>
    <xf numFmtId="165" fontId="11" fillId="5" borderId="10" xfId="1" applyNumberFormat="1" applyFont="1" applyFill="1" applyBorder="1" applyProtection="1">
      <protection hidden="1"/>
    </xf>
    <xf numFmtId="0" fontId="11" fillId="5" borderId="10" xfId="3" applyFont="1" applyFill="1" applyBorder="1" applyProtection="1">
      <protection hidden="1"/>
    </xf>
    <xf numFmtId="44" fontId="11" fillId="5" borderId="10" xfId="1" applyFont="1" applyFill="1" applyBorder="1" applyProtection="1">
      <protection hidden="1"/>
    </xf>
    <xf numFmtId="165" fontId="11" fillId="5" borderId="13" xfId="1" applyNumberFormat="1" applyFont="1" applyFill="1" applyBorder="1" applyProtection="1">
      <protection hidden="1"/>
    </xf>
    <xf numFmtId="165" fontId="0" fillId="6" borderId="10" xfId="1" applyNumberFormat="1" applyFont="1" applyFill="1" applyBorder="1" applyProtection="1"/>
    <xf numFmtId="0" fontId="0" fillId="6" borderId="6" xfId="0" applyFill="1" applyBorder="1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4" fillId="0" borderId="6" xfId="0" applyFont="1" applyBorder="1" applyAlignment="1">
      <alignment horizontal="right" vertical="center"/>
    </xf>
    <xf numFmtId="44" fontId="16" fillId="6" borderId="14" xfId="1" applyFont="1" applyFill="1" applyBorder="1" applyProtection="1">
      <protection hidden="1"/>
    </xf>
    <xf numFmtId="44" fontId="16" fillId="6" borderId="17" xfId="1" applyFont="1" applyFill="1" applyBorder="1" applyProtection="1">
      <protection hidden="1"/>
    </xf>
    <xf numFmtId="0" fontId="0" fillId="6" borderId="7" xfId="0" applyFill="1" applyBorder="1" applyAlignment="1" applyProtection="1">
      <alignment horizontal="right"/>
      <protection locked="0"/>
    </xf>
    <xf numFmtId="0" fontId="0" fillId="6" borderId="1" xfId="0" applyFill="1" applyBorder="1" applyProtection="1">
      <protection locked="0"/>
    </xf>
    <xf numFmtId="0" fontId="0" fillId="6" borderId="12" xfId="0" applyFill="1" applyBorder="1" applyProtection="1">
      <protection locked="0"/>
    </xf>
    <xf numFmtId="0" fontId="0" fillId="6" borderId="1" xfId="0" applyFill="1" applyBorder="1" applyAlignment="1" applyProtection="1">
      <alignment horizontal="right"/>
      <protection locked="0"/>
    </xf>
    <xf numFmtId="44" fontId="0" fillId="6" borderId="7" xfId="1" applyFont="1" applyFill="1" applyBorder="1" applyAlignment="1" applyProtection="1">
      <alignment horizontal="center" vertical="center"/>
      <protection locked="0"/>
    </xf>
    <xf numFmtId="44" fontId="0" fillId="6" borderId="1" xfId="1" applyFont="1" applyFill="1" applyBorder="1" applyAlignment="1" applyProtection="1">
      <alignment horizontal="center" vertical="center"/>
      <protection locked="0"/>
    </xf>
    <xf numFmtId="44" fontId="0" fillId="6" borderId="12" xfId="1" applyFont="1" applyFill="1" applyBorder="1" applyAlignment="1" applyProtection="1">
      <alignment horizontal="center" vertical="center"/>
      <protection locked="0"/>
    </xf>
    <xf numFmtId="0" fontId="0" fillId="6" borderId="6" xfId="0" applyFill="1" applyBorder="1" applyAlignment="1" applyProtection="1">
      <alignment horizontal="center" vertical="center" wrapText="1"/>
      <protection locked="0"/>
    </xf>
    <xf numFmtId="0" fontId="0" fillId="6" borderId="9" xfId="0" applyFill="1" applyBorder="1" applyAlignment="1" applyProtection="1">
      <alignment horizontal="center" vertical="center" wrapText="1"/>
      <protection locked="0"/>
    </xf>
    <xf numFmtId="0" fontId="0" fillId="6" borderId="11" xfId="0" applyFill="1" applyBorder="1" applyAlignment="1" applyProtection="1">
      <alignment horizontal="center" vertical="center" wrapText="1"/>
      <protection locked="0"/>
    </xf>
    <xf numFmtId="165" fontId="27" fillId="10" borderId="0" xfId="1" applyNumberFormat="1" applyFont="1" applyFill="1" applyAlignment="1" applyProtection="1">
      <alignment horizontal="center" vertical="center"/>
      <protection hidden="1"/>
    </xf>
    <xf numFmtId="165" fontId="25" fillId="10" borderId="0" xfId="1" applyNumberFormat="1" applyFont="1" applyFill="1" applyAlignment="1" applyProtection="1">
      <alignment horizontal="center" vertical="center"/>
      <protection hidden="1"/>
    </xf>
    <xf numFmtId="164" fontId="27" fillId="10" borderId="0" xfId="1" applyNumberFormat="1" applyFont="1" applyFill="1" applyAlignment="1" applyProtection="1">
      <alignment horizontal="center" vertical="center"/>
      <protection hidden="1"/>
    </xf>
    <xf numFmtId="165" fontId="0" fillId="6" borderId="7" xfId="1" applyNumberFormat="1" applyFont="1" applyFill="1" applyBorder="1" applyProtection="1">
      <protection locked="0"/>
    </xf>
    <xf numFmtId="165" fontId="0" fillId="6" borderId="1" xfId="1" applyNumberFormat="1" applyFont="1" applyFill="1" applyBorder="1" applyProtection="1">
      <protection locked="0"/>
    </xf>
    <xf numFmtId="165" fontId="0" fillId="6" borderId="12" xfId="1" applyNumberFormat="1" applyFont="1" applyFill="1" applyBorder="1" applyProtection="1">
      <protection locked="0"/>
    </xf>
    <xf numFmtId="165" fontId="0" fillId="6" borderId="8" xfId="1" applyNumberFormat="1" applyFont="1" applyFill="1" applyBorder="1" applyProtection="1"/>
    <xf numFmtId="165" fontId="0" fillId="6" borderId="10" xfId="1" applyNumberFormat="1" applyFont="1" applyFill="1" applyBorder="1" applyProtection="1">
      <protection locked="0"/>
    </xf>
    <xf numFmtId="165" fontId="4" fillId="6" borderId="10" xfId="1" applyNumberFormat="1" applyFont="1" applyFill="1" applyBorder="1" applyAlignment="1" applyProtection="1">
      <protection locked="0"/>
    </xf>
    <xf numFmtId="9" fontId="4" fillId="9" borderId="17" xfId="2" applyFont="1" applyFill="1" applyBorder="1" applyAlignment="1" applyProtection="1">
      <alignment vertical="center"/>
    </xf>
    <xf numFmtId="0" fontId="0" fillId="9" borderId="0" xfId="0" applyFill="1" applyProtection="1">
      <protection locked="0"/>
    </xf>
    <xf numFmtId="0" fontId="0" fillId="9" borderId="0" xfId="0" applyFill="1" applyAlignment="1" applyProtection="1">
      <alignment horizontal="center" vertical="center"/>
      <protection locked="0"/>
    </xf>
    <xf numFmtId="165" fontId="23" fillId="11" borderId="1" xfId="5" applyNumberFormat="1" applyFont="1" applyFill="1" applyBorder="1" applyAlignment="1" applyProtection="1">
      <alignment horizontal="center" vertical="center"/>
      <protection locked="0" hidden="1"/>
    </xf>
    <xf numFmtId="165" fontId="11" fillId="5" borderId="8" xfId="3" applyNumberFormat="1" applyFont="1" applyFill="1" applyBorder="1" applyProtection="1">
      <protection hidden="1"/>
    </xf>
    <xf numFmtId="0" fontId="4" fillId="0" borderId="36" xfId="0" applyFont="1" applyBorder="1" applyAlignment="1">
      <alignment horizontal="right" vertical="center"/>
    </xf>
    <xf numFmtId="165" fontId="0" fillId="6" borderId="37" xfId="1" applyNumberFormat="1" applyFont="1" applyFill="1" applyBorder="1" applyProtection="1">
      <protection locked="0"/>
    </xf>
    <xf numFmtId="0" fontId="4" fillId="9" borderId="15" xfId="0" applyFont="1" applyFill="1" applyBorder="1" applyAlignment="1">
      <alignment horizontal="right" vertical="center"/>
    </xf>
    <xf numFmtId="0" fontId="0" fillId="9" borderId="15" xfId="0" applyFill="1" applyBorder="1" applyProtection="1">
      <protection locked="0"/>
    </xf>
    <xf numFmtId="0" fontId="3" fillId="4" borderId="45" xfId="0" applyFont="1" applyFill="1" applyBorder="1" applyAlignment="1">
      <alignment horizontal="center" vertical="center"/>
    </xf>
    <xf numFmtId="0" fontId="33" fillId="4" borderId="46" xfId="0" applyFont="1" applyFill="1" applyBorder="1" applyAlignment="1" applyProtection="1">
      <alignment horizontal="center" vertical="center"/>
      <protection locked="0"/>
    </xf>
    <xf numFmtId="9" fontId="34" fillId="4" borderId="30" xfId="2" applyFont="1" applyFill="1" applyBorder="1" applyAlignment="1" applyProtection="1">
      <alignment horizontal="center" vertical="center"/>
    </xf>
    <xf numFmtId="0" fontId="4" fillId="0" borderId="9" xfId="0" applyFont="1" applyBorder="1"/>
    <xf numFmtId="165" fontId="0" fillId="6" borderId="13" xfId="1" applyNumberFormat="1" applyFont="1" applyFill="1" applyBorder="1" applyProtection="1">
      <protection locked="0"/>
    </xf>
    <xf numFmtId="0" fontId="4" fillId="0" borderId="6" xfId="0" applyFont="1" applyBorder="1" applyProtection="1">
      <protection locked="0"/>
    </xf>
    <xf numFmtId="165" fontId="0" fillId="6" borderId="8" xfId="1" applyNumberFormat="1" applyFont="1" applyFill="1" applyBorder="1" applyProtection="1">
      <protection locked="0"/>
    </xf>
    <xf numFmtId="165" fontId="0" fillId="6" borderId="13" xfId="1" applyNumberFormat="1" applyFont="1" applyFill="1" applyBorder="1" applyProtection="1"/>
    <xf numFmtId="165" fontId="0" fillId="9" borderId="0" xfId="2" applyNumberFormat="1" applyFont="1" applyFill="1" applyBorder="1" applyProtection="1"/>
    <xf numFmtId="0" fontId="0" fillId="9" borderId="0" xfId="0" applyFill="1" applyAlignment="1">
      <alignment horizontal="center" vertical="center"/>
    </xf>
    <xf numFmtId="165" fontId="0" fillId="9" borderId="0" xfId="1" applyNumberFormat="1" applyFont="1" applyFill="1" applyBorder="1" applyProtection="1">
      <protection locked="0"/>
    </xf>
    <xf numFmtId="9" fontId="0" fillId="9" borderId="0" xfId="0" applyNumberFormat="1" applyFill="1" applyProtection="1">
      <protection locked="0"/>
    </xf>
    <xf numFmtId="164" fontId="0" fillId="9" borderId="0" xfId="0" applyNumberFormat="1" applyFill="1"/>
    <xf numFmtId="165" fontId="0" fillId="9" borderId="0" xfId="1" applyNumberFormat="1" applyFont="1" applyFill="1" applyBorder="1" applyAlignment="1" applyProtection="1">
      <alignment horizontal="left"/>
      <protection locked="0"/>
    </xf>
    <xf numFmtId="44" fontId="0" fillId="9" borderId="0" xfId="1" applyFont="1" applyFill="1" applyBorder="1"/>
    <xf numFmtId="44" fontId="0" fillId="9" borderId="0" xfId="1" applyFont="1" applyFill="1" applyBorder="1" applyAlignment="1">
      <alignment horizontal="center" vertical="center"/>
    </xf>
    <xf numFmtId="44" fontId="0" fillId="9" borderId="0" xfId="1" applyFont="1" applyFill="1" applyBorder="1" applyAlignment="1" applyProtection="1">
      <alignment horizontal="center"/>
      <protection locked="0"/>
    </xf>
    <xf numFmtId="44" fontId="0" fillId="9" borderId="0" xfId="1" applyFont="1" applyFill="1" applyBorder="1" applyAlignment="1" applyProtection="1">
      <alignment horizontal="center" vertical="center"/>
      <protection locked="0"/>
    </xf>
    <xf numFmtId="164" fontId="0" fillId="9" borderId="0" xfId="0" applyNumberFormat="1" applyFill="1" applyAlignment="1">
      <alignment horizontal="center"/>
    </xf>
    <xf numFmtId="0" fontId="15" fillId="3" borderId="27" xfId="0" applyFont="1" applyFill="1" applyBorder="1" applyAlignment="1">
      <alignment horizontal="center" vertical="center" wrapText="1"/>
    </xf>
    <xf numFmtId="0" fontId="15" fillId="3" borderId="29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 wrapText="1"/>
    </xf>
    <xf numFmtId="0" fontId="15" fillId="3" borderId="28" xfId="0" applyFont="1" applyFill="1" applyBorder="1" applyAlignment="1">
      <alignment horizontal="center" vertical="center" wrapText="1"/>
    </xf>
    <xf numFmtId="0" fontId="4" fillId="6" borderId="0" xfId="0" applyFont="1" applyFill="1" applyAlignment="1">
      <alignment horizontal="center"/>
    </xf>
    <xf numFmtId="164" fontId="0" fillId="6" borderId="0" xfId="0" applyNumberFormat="1" applyFill="1"/>
    <xf numFmtId="0" fontId="0" fillId="6" borderId="0" xfId="0" applyFill="1"/>
    <xf numFmtId="0" fontId="0" fillId="0" borderId="17" xfId="0" applyBorder="1" applyAlignment="1">
      <alignment horizontal="center" vertical="center"/>
    </xf>
    <xf numFmtId="0" fontId="0" fillId="0" borderId="18" xfId="0" applyBorder="1"/>
    <xf numFmtId="0" fontId="6" fillId="9" borderId="0" xfId="0" applyFont="1" applyFill="1" applyAlignment="1">
      <alignment vertical="center"/>
    </xf>
    <xf numFmtId="0" fontId="13" fillId="9" borderId="0" xfId="0" applyFont="1" applyFill="1" applyAlignment="1">
      <alignment vertical="center"/>
    </xf>
    <xf numFmtId="0" fontId="4" fillId="6" borderId="29" xfId="0" applyFont="1" applyFill="1" applyBorder="1" applyAlignment="1" applyProtection="1">
      <alignment horizontal="center" vertical="center"/>
      <protection locked="0"/>
    </xf>
    <xf numFmtId="0" fontId="4" fillId="6" borderId="27" xfId="0" applyFont="1" applyFill="1" applyBorder="1" applyAlignment="1" applyProtection="1">
      <alignment horizontal="center" vertical="center"/>
      <protection locked="0"/>
    </xf>
    <xf numFmtId="164" fontId="0" fillId="6" borderId="29" xfId="0" applyNumberFormat="1" applyFill="1" applyBorder="1" applyAlignment="1">
      <alignment horizontal="center" vertical="center"/>
    </xf>
    <xf numFmtId="164" fontId="0" fillId="6" borderId="28" xfId="1" applyNumberFormat="1" applyFont="1" applyFill="1" applyBorder="1" applyAlignment="1" applyProtection="1">
      <alignment horizontal="center" vertical="center"/>
    </xf>
    <xf numFmtId="164" fontId="26" fillId="6" borderId="8" xfId="1" applyNumberFormat="1" applyFont="1" applyFill="1" applyBorder="1" applyAlignment="1" applyProtection="1">
      <alignment horizontal="center" vertical="center"/>
    </xf>
    <xf numFmtId="164" fontId="26" fillId="6" borderId="13" xfId="1" applyNumberFormat="1" applyFont="1" applyFill="1" applyBorder="1" applyAlignment="1" applyProtection="1">
      <alignment horizontal="center" vertical="center"/>
    </xf>
    <xf numFmtId="0" fontId="7" fillId="0" borderId="0" xfId="0" applyFont="1" applyAlignment="1">
      <alignment horizontal="center"/>
    </xf>
    <xf numFmtId="0" fontId="0" fillId="6" borderId="11" xfId="0" applyFill="1" applyBorder="1" applyAlignment="1" applyProtection="1">
      <alignment horizontal="center" vertical="center"/>
      <protection locked="0"/>
    </xf>
    <xf numFmtId="0" fontId="0" fillId="6" borderId="12" xfId="0" applyFill="1" applyBorder="1" applyAlignment="1" applyProtection="1">
      <alignment horizontal="center" vertical="center"/>
      <protection locked="0"/>
    </xf>
    <xf numFmtId="0" fontId="0" fillId="6" borderId="6" xfId="0" applyFill="1" applyBorder="1" applyAlignment="1" applyProtection="1">
      <alignment horizontal="center" vertical="center"/>
      <protection locked="0"/>
    </xf>
    <xf numFmtId="0" fontId="0" fillId="6" borderId="7" xfId="0" applyFill="1" applyBorder="1" applyAlignment="1" applyProtection="1">
      <alignment horizontal="center" vertical="center"/>
      <protection locked="0"/>
    </xf>
    <xf numFmtId="0" fontId="3" fillId="9" borderId="0" xfId="0" applyFont="1" applyFill="1" applyAlignment="1">
      <alignment horizontal="center"/>
    </xf>
    <xf numFmtId="0" fontId="0" fillId="6" borderId="9" xfId="0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164" fontId="0" fillId="0" borderId="0" xfId="0" applyNumberFormat="1"/>
    <xf numFmtId="164" fontId="0" fillId="6" borderId="28" xfId="0" applyNumberFormat="1" applyFill="1" applyBorder="1" applyAlignment="1">
      <alignment horizontal="center" vertical="center"/>
    </xf>
    <xf numFmtId="164" fontId="0" fillId="6" borderId="7" xfId="1" applyNumberFormat="1" applyFont="1" applyFill="1" applyBorder="1" applyAlignment="1" applyProtection="1">
      <alignment horizontal="center" vertical="center"/>
      <protection locked="0"/>
    </xf>
    <xf numFmtId="164" fontId="0" fillId="6" borderId="8" xfId="1" applyNumberFormat="1" applyFont="1" applyFill="1" applyBorder="1" applyAlignment="1" applyProtection="1">
      <alignment horizontal="center" vertical="center"/>
      <protection locked="0"/>
    </xf>
    <xf numFmtId="164" fontId="0" fillId="6" borderId="1" xfId="1" applyNumberFormat="1" applyFont="1" applyFill="1" applyBorder="1" applyAlignment="1" applyProtection="1">
      <alignment horizontal="center" vertical="center"/>
      <protection locked="0"/>
    </xf>
    <xf numFmtId="164" fontId="0" fillId="6" borderId="10" xfId="1" applyNumberFormat="1" applyFont="1" applyFill="1" applyBorder="1" applyAlignment="1" applyProtection="1">
      <alignment horizontal="center" vertical="center"/>
      <protection locked="0"/>
    </xf>
    <xf numFmtId="164" fontId="0" fillId="6" borderId="12" xfId="1" applyNumberFormat="1" applyFont="1" applyFill="1" applyBorder="1" applyAlignment="1" applyProtection="1">
      <alignment horizontal="center" vertical="center"/>
      <protection locked="0"/>
    </xf>
    <xf numFmtId="164" fontId="0" fillId="6" borderId="13" xfId="1" applyNumberFormat="1" applyFont="1" applyFill="1" applyBorder="1" applyAlignment="1" applyProtection="1">
      <alignment horizontal="center" vertical="center"/>
      <protection locked="0"/>
    </xf>
    <xf numFmtId="166" fontId="0" fillId="6" borderId="7" xfId="1" applyNumberFormat="1" applyFont="1" applyFill="1" applyBorder="1" applyAlignment="1" applyProtection="1">
      <alignment horizontal="center" vertical="center"/>
      <protection locked="0"/>
    </xf>
    <xf numFmtId="166" fontId="0" fillId="6" borderId="1" xfId="1" applyNumberFormat="1" applyFont="1" applyFill="1" applyBorder="1" applyAlignment="1" applyProtection="1">
      <alignment horizontal="center" vertical="center"/>
      <protection locked="0"/>
    </xf>
    <xf numFmtId="166" fontId="0" fillId="6" borderId="12" xfId="1" applyNumberFormat="1" applyFont="1" applyFill="1" applyBorder="1" applyAlignment="1" applyProtection="1">
      <alignment horizontal="center" vertical="center"/>
      <protection locked="0"/>
    </xf>
    <xf numFmtId="166" fontId="0" fillId="6" borderId="7" xfId="0" applyNumberFormat="1" applyFill="1" applyBorder="1" applyAlignment="1" applyProtection="1">
      <alignment horizontal="center" vertical="center"/>
      <protection locked="0"/>
    </xf>
    <xf numFmtId="166" fontId="0" fillId="6" borderId="1" xfId="2" applyNumberFormat="1" applyFont="1" applyFill="1" applyBorder="1" applyAlignment="1" applyProtection="1">
      <alignment horizontal="center" vertical="center"/>
      <protection locked="0"/>
    </xf>
    <xf numFmtId="166" fontId="0" fillId="6" borderId="1" xfId="0" applyNumberFormat="1" applyFill="1" applyBorder="1" applyAlignment="1" applyProtection="1">
      <alignment horizontal="center" vertical="center"/>
      <protection locked="0"/>
    </xf>
    <xf numFmtId="166" fontId="0" fillId="6" borderId="12" xfId="0" applyNumberFormat="1" applyFill="1" applyBorder="1" applyAlignment="1" applyProtection="1">
      <alignment horizontal="center" vertical="center"/>
      <protection locked="0"/>
    </xf>
    <xf numFmtId="166" fontId="0" fillId="6" borderId="30" xfId="2" applyNumberFormat="1" applyFont="1" applyFill="1" applyBorder="1" applyAlignment="1" applyProtection="1">
      <alignment horizontal="center" vertical="center"/>
    </xf>
    <xf numFmtId="10" fontId="0" fillId="6" borderId="8" xfId="2" applyNumberFormat="1" applyFont="1" applyFill="1" applyBorder="1" applyAlignment="1" applyProtection="1">
      <alignment horizontal="right" vertical="center"/>
    </xf>
    <xf numFmtId="10" fontId="0" fillId="6" borderId="10" xfId="2" applyNumberFormat="1" applyFont="1" applyFill="1" applyBorder="1" applyAlignment="1" applyProtection="1">
      <alignment horizontal="right" vertical="center"/>
    </xf>
    <xf numFmtId="10" fontId="0" fillId="6" borderId="13" xfId="2" applyNumberFormat="1" applyFont="1" applyFill="1" applyBorder="1" applyAlignment="1" applyProtection="1">
      <alignment horizontal="right" vertical="center"/>
    </xf>
    <xf numFmtId="165" fontId="0" fillId="6" borderId="42" xfId="1" applyNumberFormat="1" applyFont="1" applyFill="1" applyBorder="1" applyProtection="1">
      <protection locked="0"/>
    </xf>
    <xf numFmtId="165" fontId="0" fillId="6" borderId="43" xfId="1" applyNumberFormat="1" applyFont="1" applyFill="1" applyBorder="1" applyProtection="1"/>
    <xf numFmtId="0" fontId="35" fillId="17" borderId="27" xfId="0" applyFont="1" applyFill="1" applyBorder="1" applyAlignment="1">
      <alignment horizontal="center" vertical="center"/>
    </xf>
    <xf numFmtId="0" fontId="35" fillId="17" borderId="29" xfId="0" applyFont="1" applyFill="1" applyBorder="1" applyAlignment="1">
      <alignment horizontal="center"/>
    </xf>
    <xf numFmtId="0" fontId="35" fillId="17" borderId="28" xfId="0" applyFont="1" applyFill="1" applyBorder="1" applyAlignment="1">
      <alignment horizontal="center"/>
    </xf>
    <xf numFmtId="0" fontId="35" fillId="17" borderId="29" xfId="0" applyFont="1" applyFill="1" applyBorder="1" applyAlignment="1">
      <alignment horizontal="center" vertical="center"/>
    </xf>
    <xf numFmtId="0" fontId="35" fillId="17" borderId="28" xfId="0" applyFont="1" applyFill="1" applyBorder="1" applyAlignment="1">
      <alignment horizontal="center" vertical="center"/>
    </xf>
    <xf numFmtId="164" fontId="35" fillId="17" borderId="22" xfId="0" applyNumberFormat="1" applyFont="1" applyFill="1" applyBorder="1" applyAlignment="1">
      <alignment horizontal="center" vertical="center"/>
    </xf>
    <xf numFmtId="164" fontId="38" fillId="16" borderId="23" xfId="1" applyNumberFormat="1" applyFont="1" applyFill="1" applyBorder="1" applyAlignment="1" applyProtection="1">
      <alignment horizontal="center" vertical="center"/>
    </xf>
    <xf numFmtId="0" fontId="0" fillId="0" borderId="15" xfId="0" applyBorder="1"/>
    <xf numFmtId="9" fontId="0" fillId="0" borderId="0" xfId="0" applyNumberFormat="1"/>
    <xf numFmtId="0" fontId="4" fillId="0" borderId="22" xfId="0" applyFont="1" applyBorder="1"/>
    <xf numFmtId="0" fontId="4" fillId="0" borderId="50" xfId="0" applyFont="1" applyBorder="1"/>
    <xf numFmtId="0" fontId="4" fillId="0" borderId="23" xfId="0" applyFont="1" applyBorder="1"/>
    <xf numFmtId="44" fontId="0" fillId="0" borderId="0" xfId="1" applyFont="1" applyFill="1" applyBorder="1"/>
    <xf numFmtId="165" fontId="0" fillId="0" borderId="0" xfId="1" applyNumberFormat="1" applyFont="1" applyFill="1" applyBorder="1" applyProtection="1">
      <protection locked="0"/>
    </xf>
    <xf numFmtId="0" fontId="0" fillId="6" borderId="24" xfId="0" applyFill="1" applyBorder="1" applyAlignment="1" applyProtection="1">
      <alignment horizontal="center" vertical="center"/>
      <protection locked="0"/>
    </xf>
    <xf numFmtId="0" fontId="0" fillId="6" borderId="2" xfId="0" applyFill="1" applyBorder="1" applyAlignment="1" applyProtection="1">
      <alignment horizontal="center" vertical="center"/>
      <protection locked="0"/>
    </xf>
    <xf numFmtId="0" fontId="0" fillId="6" borderId="25" xfId="0" applyFill="1" applyBorder="1" applyAlignment="1" applyProtection="1">
      <alignment horizontal="center" vertical="center"/>
      <protection locked="0"/>
    </xf>
    <xf numFmtId="0" fontId="4" fillId="0" borderId="50" xfId="0" applyFont="1" applyBorder="1" applyAlignment="1">
      <alignment horizontal="right" vertical="center"/>
    </xf>
    <xf numFmtId="0" fontId="4" fillId="0" borderId="56" xfId="0" applyFont="1" applyBorder="1"/>
    <xf numFmtId="0" fontId="0" fillId="6" borderId="49" xfId="0" applyFill="1" applyBorder="1" applyAlignment="1" applyProtection="1">
      <alignment horizontal="left"/>
      <protection locked="0"/>
    </xf>
    <xf numFmtId="164" fontId="0" fillId="6" borderId="52" xfId="0" applyNumberFormat="1" applyFill="1" applyBorder="1" applyAlignment="1" applyProtection="1">
      <alignment horizontal="left"/>
      <protection locked="0"/>
    </xf>
    <xf numFmtId="0" fontId="3" fillId="18" borderId="30" xfId="0" applyFont="1" applyFill="1" applyBorder="1" applyAlignment="1">
      <alignment horizontal="center" vertical="center"/>
    </xf>
    <xf numFmtId="0" fontId="3" fillId="9" borderId="0" xfId="0" applyFont="1" applyFill="1" applyAlignment="1">
      <alignment horizontal="left"/>
    </xf>
    <xf numFmtId="164" fontId="30" fillId="9" borderId="0" xfId="1" applyNumberFormat="1" applyFont="1" applyFill="1" applyBorder="1" applyAlignment="1">
      <alignment horizontal="center" vertical="center"/>
    </xf>
    <xf numFmtId="164" fontId="32" fillId="4" borderId="30" xfId="1" applyNumberFormat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44" fontId="0" fillId="0" borderId="0" xfId="1" applyFont="1" applyFill="1" applyBorder="1" applyAlignment="1">
      <alignment horizontal="center" vertical="center"/>
    </xf>
    <xf numFmtId="10" fontId="34" fillId="4" borderId="30" xfId="2" applyNumberFormat="1" applyFont="1" applyFill="1" applyBorder="1" applyAlignment="1" applyProtection="1">
      <alignment horizontal="center" vertical="center"/>
    </xf>
    <xf numFmtId="0" fontId="3" fillId="9" borderId="15" xfId="0" applyFont="1" applyFill="1" applyBorder="1" applyAlignment="1">
      <alignment horizontal="center" vertical="center"/>
    </xf>
    <xf numFmtId="10" fontId="0" fillId="6" borderId="7" xfId="0" applyNumberFormat="1" applyFill="1" applyBorder="1" applyAlignment="1" applyProtection="1">
      <alignment horizontal="right" vertical="center"/>
      <protection locked="0"/>
    </xf>
    <xf numFmtId="10" fontId="0" fillId="6" borderId="1" xfId="0" applyNumberFormat="1" applyFill="1" applyBorder="1" applyAlignment="1" applyProtection="1">
      <alignment horizontal="right" vertical="center"/>
      <protection locked="0"/>
    </xf>
    <xf numFmtId="0" fontId="0" fillId="6" borderId="12" xfId="0" applyFill="1" applyBorder="1" applyAlignment="1" applyProtection="1">
      <alignment horizontal="right" vertical="center"/>
      <protection locked="0"/>
    </xf>
    <xf numFmtId="9" fontId="0" fillId="6" borderId="1" xfId="0" applyNumberFormat="1" applyFill="1" applyBorder="1" applyAlignment="1" applyProtection="1">
      <alignment horizontal="right" vertical="center"/>
      <protection locked="0"/>
    </xf>
    <xf numFmtId="0" fontId="0" fillId="6" borderId="7" xfId="0" applyFill="1" applyBorder="1" applyAlignment="1" applyProtection="1">
      <alignment vertical="center"/>
      <protection locked="0"/>
    </xf>
    <xf numFmtId="0" fontId="0" fillId="6" borderId="1" xfId="0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164" fontId="0" fillId="6" borderId="32" xfId="1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164" fontId="0" fillId="6" borderId="29" xfId="0" applyNumberFormat="1" applyFill="1" applyBorder="1" applyAlignment="1">
      <alignment vertical="center"/>
    </xf>
    <xf numFmtId="0" fontId="4" fillId="9" borderId="0" xfId="0" applyFont="1" applyFill="1" applyAlignment="1">
      <alignment horizontal="center" vertical="center"/>
    </xf>
    <xf numFmtId="164" fontId="0" fillId="9" borderId="0" xfId="0" applyNumberFormat="1" applyFill="1" applyAlignment="1">
      <alignment vertical="center"/>
    </xf>
    <xf numFmtId="0" fontId="0" fillId="9" borderId="0" xfId="0" applyFill="1" applyAlignment="1">
      <alignment vertical="center"/>
    </xf>
    <xf numFmtId="164" fontId="0" fillId="9" borderId="0" xfId="0" applyNumberFormat="1" applyFill="1" applyAlignment="1">
      <alignment horizontal="center" vertical="center"/>
    </xf>
    <xf numFmtId="164" fontId="0" fillId="6" borderId="7" xfId="1" applyNumberFormat="1" applyFont="1" applyFill="1" applyBorder="1" applyAlignment="1" applyProtection="1">
      <alignment horizontal="right" vertical="center"/>
      <protection locked="0"/>
    </xf>
    <xf numFmtId="0" fontId="0" fillId="6" borderId="7" xfId="1" applyNumberFormat="1" applyFont="1" applyFill="1" applyBorder="1" applyAlignment="1" applyProtection="1">
      <alignment horizontal="right" vertical="center"/>
      <protection locked="0"/>
    </xf>
    <xf numFmtId="0" fontId="0" fillId="6" borderId="7" xfId="0" applyFill="1" applyBorder="1" applyAlignment="1" applyProtection="1">
      <alignment horizontal="right" vertical="center"/>
      <protection locked="0"/>
    </xf>
    <xf numFmtId="164" fontId="0" fillId="6" borderId="7" xfId="0" applyNumberFormat="1" applyFill="1" applyBorder="1" applyAlignment="1" applyProtection="1">
      <alignment horizontal="right" vertical="center"/>
      <protection locked="0"/>
    </xf>
    <xf numFmtId="10" fontId="0" fillId="6" borderId="8" xfId="2" applyNumberFormat="1" applyFont="1" applyFill="1" applyBorder="1" applyAlignment="1" applyProtection="1">
      <alignment horizontal="right" vertical="center"/>
      <protection locked="0"/>
    </xf>
    <xf numFmtId="164" fontId="0" fillId="6" borderId="1" xfId="1" applyNumberFormat="1" applyFont="1" applyFill="1" applyBorder="1" applyAlignment="1" applyProtection="1">
      <alignment vertical="center"/>
      <protection locked="0"/>
    </xf>
    <xf numFmtId="0" fontId="0" fillId="6" borderId="1" xfId="1" applyNumberFormat="1" applyFont="1" applyFill="1" applyBorder="1" applyAlignment="1" applyProtection="1">
      <alignment vertical="center"/>
      <protection locked="0"/>
    </xf>
    <xf numFmtId="164" fontId="0" fillId="6" borderId="1" xfId="0" applyNumberFormat="1" applyFill="1" applyBorder="1" applyAlignment="1" applyProtection="1">
      <alignment vertical="center"/>
      <protection locked="0"/>
    </xf>
    <xf numFmtId="164" fontId="0" fillId="6" borderId="1" xfId="2" applyNumberFormat="1" applyFont="1" applyFill="1" applyBorder="1" applyAlignment="1" applyProtection="1">
      <alignment vertical="center"/>
      <protection locked="0"/>
    </xf>
    <xf numFmtId="10" fontId="0" fillId="6" borderId="10" xfId="2" applyNumberFormat="1" applyFont="1" applyFill="1" applyBorder="1" applyAlignment="1" applyProtection="1">
      <alignment horizontal="right" vertical="center"/>
      <protection locked="0"/>
    </xf>
    <xf numFmtId="164" fontId="0" fillId="6" borderId="12" xfId="1" applyNumberFormat="1" applyFont="1" applyFill="1" applyBorder="1" applyAlignment="1" applyProtection="1">
      <alignment vertical="center"/>
      <protection locked="0"/>
    </xf>
    <xf numFmtId="0" fontId="0" fillId="6" borderId="12" xfId="1" applyNumberFormat="1" applyFont="1" applyFill="1" applyBorder="1" applyAlignment="1" applyProtection="1">
      <alignment vertical="center"/>
      <protection locked="0"/>
    </xf>
    <xf numFmtId="0" fontId="0" fillId="6" borderId="12" xfId="0" applyFill="1" applyBorder="1" applyAlignment="1" applyProtection="1">
      <alignment vertical="center"/>
      <protection locked="0"/>
    </xf>
    <xf numFmtId="164" fontId="0" fillId="6" borderId="12" xfId="0" applyNumberFormat="1" applyFill="1" applyBorder="1" applyAlignment="1" applyProtection="1">
      <alignment vertical="center"/>
      <protection locked="0"/>
    </xf>
    <xf numFmtId="10" fontId="0" fillId="6" borderId="13" xfId="2" applyNumberFormat="1" applyFont="1" applyFill="1" applyBorder="1" applyAlignment="1" applyProtection="1">
      <alignment horizontal="right" vertical="center"/>
      <protection locked="0"/>
    </xf>
    <xf numFmtId="164" fontId="0" fillId="6" borderId="1" xfId="1" applyNumberFormat="1" applyFont="1" applyFill="1" applyBorder="1" applyAlignment="1" applyProtection="1">
      <alignment horizontal="right" vertical="center"/>
      <protection locked="0"/>
    </xf>
    <xf numFmtId="0" fontId="0" fillId="6" borderId="1" xfId="1" applyNumberFormat="1" applyFont="1" applyFill="1" applyBorder="1" applyAlignment="1" applyProtection="1">
      <alignment horizontal="right" vertical="center"/>
      <protection locked="0"/>
    </xf>
    <xf numFmtId="0" fontId="0" fillId="6" borderId="1" xfId="0" applyFill="1" applyBorder="1" applyAlignment="1" applyProtection="1">
      <alignment horizontal="right" vertical="center"/>
      <protection locked="0"/>
    </xf>
    <xf numFmtId="164" fontId="0" fillId="6" borderId="1" xfId="0" applyNumberFormat="1" applyFill="1" applyBorder="1" applyAlignment="1" applyProtection="1">
      <alignment horizontal="right" vertical="center"/>
      <protection locked="0"/>
    </xf>
    <xf numFmtId="164" fontId="0" fillId="6" borderId="7" xfId="0" applyNumberFormat="1" applyFill="1" applyBorder="1" applyAlignment="1" applyProtection="1">
      <alignment vertical="center"/>
      <protection locked="0"/>
    </xf>
    <xf numFmtId="164" fontId="0" fillId="6" borderId="7" xfId="1" applyNumberFormat="1" applyFont="1" applyFill="1" applyBorder="1" applyAlignment="1" applyProtection="1">
      <alignment vertical="center"/>
      <protection locked="0"/>
    </xf>
    <xf numFmtId="164" fontId="0" fillId="6" borderId="7" xfId="0" applyNumberFormat="1" applyFill="1" applyBorder="1" applyAlignment="1" applyProtection="1">
      <alignment vertical="center" wrapText="1"/>
      <protection locked="0"/>
    </xf>
    <xf numFmtId="10" fontId="0" fillId="6" borderId="8" xfId="2" applyNumberFormat="1" applyFont="1" applyFill="1" applyBorder="1" applyAlignment="1" applyProtection="1">
      <alignment vertical="center" wrapText="1"/>
      <protection locked="0"/>
    </xf>
    <xf numFmtId="164" fontId="0" fillId="6" borderId="12" xfId="0" applyNumberFormat="1" applyFill="1" applyBorder="1" applyAlignment="1" applyProtection="1">
      <alignment vertical="center" wrapText="1"/>
      <protection locked="0"/>
    </xf>
    <xf numFmtId="10" fontId="0" fillId="6" borderId="13" xfId="2" applyNumberFormat="1" applyFont="1" applyFill="1" applyBorder="1" applyAlignment="1" applyProtection="1">
      <alignment vertical="center" wrapText="1"/>
      <protection locked="0"/>
    </xf>
    <xf numFmtId="44" fontId="0" fillId="0" borderId="0" xfId="1" applyFont="1" applyBorder="1" applyAlignment="1">
      <alignment vertical="center"/>
    </xf>
    <xf numFmtId="164" fontId="34" fillId="0" borderId="0" xfId="1" applyNumberFormat="1" applyFont="1" applyFill="1" applyBorder="1" applyAlignment="1">
      <alignment horizontal="center" vertical="center"/>
    </xf>
    <xf numFmtId="44" fontId="0" fillId="0" borderId="0" xfId="1" applyFont="1" applyFill="1" applyBorder="1" applyAlignment="1">
      <alignment vertical="center"/>
    </xf>
    <xf numFmtId="0" fontId="0" fillId="6" borderId="29" xfId="0" applyFill="1" applyBorder="1" applyAlignment="1">
      <alignment horizontal="right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6" borderId="7" xfId="1" applyNumberFormat="1" applyFont="1" applyFill="1" applyBorder="1" applyAlignment="1" applyProtection="1">
      <alignment horizontal="center" vertical="center"/>
      <protection locked="0"/>
    </xf>
    <xf numFmtId="0" fontId="0" fillId="6" borderId="1" xfId="1" applyNumberFormat="1" applyFont="1" applyFill="1" applyBorder="1" applyAlignment="1" applyProtection="1">
      <alignment horizontal="center" vertical="center"/>
      <protection locked="0"/>
    </xf>
    <xf numFmtId="0" fontId="0" fillId="6" borderId="12" xfId="1" applyNumberFormat="1" applyFont="1" applyFill="1" applyBorder="1" applyAlignment="1" applyProtection="1">
      <alignment horizontal="center" vertical="center"/>
      <protection locked="0"/>
    </xf>
    <xf numFmtId="0" fontId="0" fillId="6" borderId="32" xfId="1" applyNumberFormat="1" applyFont="1" applyFill="1" applyBorder="1" applyAlignment="1" applyProtection="1">
      <alignment horizontal="center" vertical="center"/>
      <protection locked="0"/>
    </xf>
    <xf numFmtId="0" fontId="0" fillId="6" borderId="36" xfId="0" applyFill="1" applyBorder="1" applyAlignment="1" applyProtection="1">
      <alignment horizontal="center" vertical="center"/>
      <protection locked="0"/>
    </xf>
    <xf numFmtId="167" fontId="0" fillId="6" borderId="7" xfId="0" applyNumberFormat="1" applyFill="1" applyBorder="1" applyAlignment="1" applyProtection="1">
      <alignment horizontal="right" vertical="center"/>
      <protection locked="0"/>
    </xf>
    <xf numFmtId="9" fontId="0" fillId="6" borderId="32" xfId="0" applyNumberFormat="1" applyFill="1" applyBorder="1" applyAlignment="1" applyProtection="1">
      <alignment horizontal="right" vertical="center"/>
      <protection locked="0"/>
    </xf>
    <xf numFmtId="10" fontId="0" fillId="6" borderId="32" xfId="0" applyNumberFormat="1" applyFill="1" applyBorder="1" applyAlignment="1" applyProtection="1">
      <alignment horizontal="right" vertical="center"/>
      <protection locked="0"/>
    </xf>
    <xf numFmtId="0" fontId="3" fillId="0" borderId="0" xfId="0" applyFont="1" applyAlignment="1">
      <alignment vertical="center"/>
    </xf>
    <xf numFmtId="0" fontId="0" fillId="6" borderId="4" xfId="0" applyFill="1" applyBorder="1" applyAlignment="1" applyProtection="1">
      <alignment horizontal="center" vertical="center"/>
      <protection locked="0"/>
    </xf>
    <xf numFmtId="164" fontId="0" fillId="6" borderId="4" xfId="1" applyNumberFormat="1" applyFont="1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vertical="center"/>
      <protection locked="0"/>
    </xf>
    <xf numFmtId="0" fontId="0" fillId="6" borderId="4" xfId="1" applyNumberFormat="1" applyFont="1" applyFill="1" applyBorder="1" applyAlignment="1" applyProtection="1">
      <alignment horizontal="center" vertical="center"/>
      <protection locked="0"/>
    </xf>
    <xf numFmtId="0" fontId="35" fillId="6" borderId="3" xfId="0" applyFont="1" applyFill="1" applyBorder="1" applyAlignment="1">
      <alignment horizontal="left" vertical="center"/>
    </xf>
    <xf numFmtId="0" fontId="3" fillId="19" borderId="6" xfId="0" applyFont="1" applyFill="1" applyBorder="1"/>
    <xf numFmtId="0" fontId="3" fillId="19" borderId="9" xfId="0" applyFont="1" applyFill="1" applyBorder="1"/>
    <xf numFmtId="0" fontId="3" fillId="19" borderId="11" xfId="0" applyFont="1" applyFill="1" applyBorder="1" applyAlignment="1">
      <alignment vertical="center"/>
    </xf>
    <xf numFmtId="0" fontId="3" fillId="19" borderId="39" xfId="0" applyFont="1" applyFill="1" applyBorder="1"/>
    <xf numFmtId="0" fontId="3" fillId="19" borderId="57" xfId="0" applyFont="1" applyFill="1" applyBorder="1"/>
    <xf numFmtId="0" fontId="3" fillId="19" borderId="44" xfId="0" applyFont="1" applyFill="1" applyBorder="1"/>
    <xf numFmtId="0" fontId="3" fillId="4" borderId="33" xfId="0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0" fontId="3" fillId="4" borderId="34" xfId="0" applyFont="1" applyFill="1" applyBorder="1" applyAlignment="1">
      <alignment horizontal="center"/>
    </xf>
    <xf numFmtId="0" fontId="3" fillId="4" borderId="48" xfId="0" applyFont="1" applyFill="1" applyBorder="1" applyAlignment="1">
      <alignment horizontal="center"/>
    </xf>
    <xf numFmtId="0" fontId="3" fillId="4" borderId="29" xfId="0" applyFont="1" applyFill="1" applyBorder="1" applyAlignment="1">
      <alignment horizontal="center"/>
    </xf>
    <xf numFmtId="0" fontId="3" fillId="4" borderId="28" xfId="0" applyFont="1" applyFill="1" applyBorder="1" applyAlignment="1">
      <alignment horizontal="center"/>
    </xf>
    <xf numFmtId="0" fontId="3" fillId="4" borderId="35" xfId="0" applyFont="1" applyFill="1" applyBorder="1" applyAlignment="1">
      <alignment horizontal="center"/>
    </xf>
    <xf numFmtId="0" fontId="35" fillId="6" borderId="38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/>
    </xf>
    <xf numFmtId="164" fontId="34" fillId="19" borderId="3" xfId="1" applyNumberFormat="1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44" fontId="3" fillId="4" borderId="29" xfId="1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44" fontId="3" fillId="4" borderId="28" xfId="1" applyFont="1" applyFill="1" applyBorder="1" applyAlignment="1">
      <alignment horizontal="center" vertical="center"/>
    </xf>
    <xf numFmtId="44" fontId="3" fillId="4" borderId="30" xfId="1" applyFont="1" applyFill="1" applyBorder="1" applyAlignment="1">
      <alignment horizontal="center" vertical="center"/>
    </xf>
    <xf numFmtId="44" fontId="3" fillId="4" borderId="4" xfId="1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164" fontId="34" fillId="19" borderId="5" xfId="0" applyNumberFormat="1" applyFont="1" applyFill="1" applyBorder="1" applyAlignment="1">
      <alignment horizontal="center" vertical="center"/>
    </xf>
    <xf numFmtId="164" fontId="34" fillId="19" borderId="5" xfId="1" applyNumberFormat="1" applyFont="1" applyFill="1" applyBorder="1" applyAlignment="1">
      <alignment horizontal="center" vertical="center"/>
    </xf>
    <xf numFmtId="9" fontId="44" fillId="19" borderId="5" xfId="2" applyFont="1" applyFill="1" applyBorder="1" applyAlignment="1">
      <alignment horizontal="center" vertical="center"/>
    </xf>
    <xf numFmtId="0" fontId="44" fillId="19" borderId="3" xfId="0" applyFont="1" applyFill="1" applyBorder="1" applyAlignment="1">
      <alignment horizontal="center" vertical="center"/>
    </xf>
    <xf numFmtId="164" fontId="44" fillId="19" borderId="3" xfId="1" applyNumberFormat="1" applyFont="1" applyFill="1" applyBorder="1" applyAlignment="1">
      <alignment horizontal="center" vertical="center"/>
    </xf>
    <xf numFmtId="9" fontId="44" fillId="19" borderId="4" xfId="2" applyFont="1" applyFill="1" applyBorder="1" applyAlignment="1">
      <alignment horizontal="center" vertical="center"/>
    </xf>
    <xf numFmtId="164" fontId="44" fillId="19" borderId="4" xfId="1" applyNumberFormat="1" applyFont="1" applyFill="1" applyBorder="1" applyAlignment="1">
      <alignment horizontal="center" vertical="center"/>
    </xf>
    <xf numFmtId="0" fontId="5" fillId="19" borderId="27" xfId="0" applyFont="1" applyFill="1" applyBorder="1" applyAlignment="1">
      <alignment horizontal="center"/>
    </xf>
    <xf numFmtId="0" fontId="5" fillId="19" borderId="29" xfId="0" applyFont="1" applyFill="1" applyBorder="1" applyAlignment="1">
      <alignment horizontal="center"/>
    </xf>
    <xf numFmtId="17" fontId="0" fillId="6" borderId="29" xfId="0" applyNumberFormat="1" applyFill="1" applyBorder="1" applyAlignment="1">
      <alignment vertical="center"/>
    </xf>
    <xf numFmtId="0" fontId="7" fillId="0" borderId="0" xfId="0" applyFont="1" applyAlignment="1">
      <alignment horizontal="center"/>
    </xf>
    <xf numFmtId="0" fontId="39" fillId="15" borderId="14" xfId="0" applyFont="1" applyFill="1" applyBorder="1" applyAlignment="1">
      <alignment horizontal="center" vertical="center"/>
    </xf>
    <xf numFmtId="0" fontId="39" fillId="15" borderId="15" xfId="0" applyFont="1" applyFill="1" applyBorder="1" applyAlignment="1">
      <alignment horizontal="center" vertical="center"/>
    </xf>
    <xf numFmtId="0" fontId="39" fillId="15" borderId="16" xfId="0" applyFont="1" applyFill="1" applyBorder="1" applyAlignment="1">
      <alignment horizontal="center" vertical="center"/>
    </xf>
    <xf numFmtId="0" fontId="39" fillId="15" borderId="19" xfId="0" applyFont="1" applyFill="1" applyBorder="1" applyAlignment="1">
      <alignment horizontal="center" vertical="center"/>
    </xf>
    <xf numFmtId="0" fontId="39" fillId="15" borderId="20" xfId="0" applyFont="1" applyFill="1" applyBorder="1" applyAlignment="1">
      <alignment horizontal="center" vertical="center"/>
    </xf>
    <xf numFmtId="0" fontId="39" fillId="15" borderId="21" xfId="0" applyFont="1" applyFill="1" applyBorder="1" applyAlignment="1">
      <alignment horizontal="center" vertical="center"/>
    </xf>
    <xf numFmtId="14" fontId="40" fillId="19" borderId="14" xfId="0" applyNumberFormat="1" applyFont="1" applyFill="1" applyBorder="1" applyAlignment="1">
      <alignment horizontal="center" vertical="center"/>
    </xf>
    <xf numFmtId="0" fontId="40" fillId="19" borderId="16" xfId="0" applyFont="1" applyFill="1" applyBorder="1" applyAlignment="1">
      <alignment horizontal="center" vertical="center"/>
    </xf>
    <xf numFmtId="0" fontId="40" fillId="19" borderId="19" xfId="0" applyFont="1" applyFill="1" applyBorder="1" applyAlignment="1">
      <alignment horizontal="center" vertical="center"/>
    </xf>
    <xf numFmtId="0" fontId="40" fillId="19" borderId="21" xfId="0" applyFont="1" applyFill="1" applyBorder="1" applyAlignment="1">
      <alignment horizontal="center" vertical="center"/>
    </xf>
    <xf numFmtId="14" fontId="42" fillId="6" borderId="27" xfId="7" applyNumberFormat="1" applyFill="1" applyBorder="1" applyAlignment="1" applyProtection="1">
      <alignment horizontal="left" vertical="center" wrapText="1"/>
      <protection locked="0"/>
    </xf>
    <xf numFmtId="0" fontId="0" fillId="6" borderId="29" xfId="0" applyFill="1" applyBorder="1" applyAlignment="1" applyProtection="1">
      <alignment horizontal="left" vertical="center"/>
      <protection locked="0"/>
    </xf>
    <xf numFmtId="0" fontId="0" fillId="6" borderId="28" xfId="0" applyFill="1" applyBorder="1" applyAlignment="1" applyProtection="1">
      <alignment horizontal="left" vertical="center"/>
      <protection locked="0"/>
    </xf>
    <xf numFmtId="0" fontId="3" fillId="19" borderId="3" xfId="0" applyFont="1" applyFill="1" applyBorder="1" applyAlignment="1">
      <alignment horizontal="center" vertical="center"/>
    </xf>
    <xf numFmtId="0" fontId="3" fillId="19" borderId="4" xfId="0" applyFont="1" applyFill="1" applyBorder="1" applyAlignment="1">
      <alignment horizontal="center" vertical="center"/>
    </xf>
    <xf numFmtId="0" fontId="3" fillId="19" borderId="5" xfId="0" applyFont="1" applyFill="1" applyBorder="1" applyAlignment="1">
      <alignment horizontal="center" vertical="center"/>
    </xf>
    <xf numFmtId="0" fontId="0" fillId="6" borderId="3" xfId="0" applyFill="1" applyBorder="1" applyAlignment="1" applyProtection="1">
      <alignment horizontal="center" vertical="center" wrapText="1"/>
      <protection locked="0"/>
    </xf>
    <xf numFmtId="0" fontId="0" fillId="6" borderId="5" xfId="0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1" fillId="4" borderId="3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center" vertical="center"/>
    </xf>
    <xf numFmtId="0" fontId="14" fillId="4" borderId="3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left" vertical="center"/>
    </xf>
    <xf numFmtId="0" fontId="37" fillId="6" borderId="14" xfId="0" applyFont="1" applyFill="1" applyBorder="1" applyAlignment="1">
      <alignment horizontal="center" vertical="center"/>
    </xf>
    <xf numFmtId="0" fontId="37" fillId="6" borderId="15" xfId="0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center" vertical="center"/>
    </xf>
    <xf numFmtId="0" fontId="37" fillId="6" borderId="19" xfId="0" applyFont="1" applyFill="1" applyBorder="1" applyAlignment="1">
      <alignment horizontal="center" vertical="center"/>
    </xf>
    <xf numFmtId="0" fontId="37" fillId="6" borderId="20" xfId="0" applyFont="1" applyFill="1" applyBorder="1" applyAlignment="1">
      <alignment horizontal="center" vertical="center"/>
    </xf>
    <xf numFmtId="0" fontId="37" fillId="6" borderId="21" xfId="0" applyFont="1" applyFill="1" applyBorder="1" applyAlignment="1">
      <alignment horizontal="center" vertical="center"/>
    </xf>
    <xf numFmtId="0" fontId="0" fillId="6" borderId="9" xfId="0" applyFill="1" applyBorder="1" applyAlignment="1" applyProtection="1">
      <alignment horizontal="left"/>
      <protection locked="0"/>
    </xf>
    <xf numFmtId="0" fontId="0" fillId="6" borderId="1" xfId="0" applyFill="1" applyBorder="1" applyAlignment="1" applyProtection="1">
      <alignment horizontal="left"/>
      <protection locked="0"/>
    </xf>
    <xf numFmtId="0" fontId="0" fillId="6" borderId="10" xfId="0" applyFill="1" applyBorder="1" applyAlignment="1" applyProtection="1">
      <alignment horizontal="left"/>
      <protection locked="0"/>
    </xf>
    <xf numFmtId="0" fontId="0" fillId="6" borderId="7" xfId="0" applyFill="1" applyBorder="1" applyAlignment="1" applyProtection="1">
      <alignment horizontal="left"/>
      <protection locked="0"/>
    </xf>
    <xf numFmtId="0" fontId="0" fillId="6" borderId="24" xfId="0" applyFill="1" applyBorder="1" applyAlignment="1" applyProtection="1">
      <alignment horizontal="left"/>
      <protection locked="0"/>
    </xf>
    <xf numFmtId="0" fontId="0" fillId="6" borderId="2" xfId="0" applyFill="1" applyBorder="1" applyAlignment="1" applyProtection="1">
      <alignment horizontal="left"/>
      <protection locked="0"/>
    </xf>
    <xf numFmtId="0" fontId="0" fillId="6" borderId="6" xfId="0" applyFill="1" applyBorder="1" applyAlignment="1" applyProtection="1">
      <alignment horizontal="left"/>
      <protection locked="0"/>
    </xf>
    <xf numFmtId="0" fontId="0" fillId="6" borderId="8" xfId="0" applyFill="1" applyBorder="1" applyAlignment="1" applyProtection="1">
      <alignment horizontal="left"/>
      <protection locked="0"/>
    </xf>
    <xf numFmtId="14" fontId="0" fillId="6" borderId="9" xfId="0" applyNumberFormat="1" applyFill="1" applyBorder="1" applyAlignment="1" applyProtection="1">
      <alignment horizontal="left"/>
      <protection locked="0"/>
    </xf>
    <xf numFmtId="0" fontId="0" fillId="6" borderId="12" xfId="0" applyFill="1" applyBorder="1" applyAlignment="1" applyProtection="1">
      <alignment horizontal="left" vertical="center"/>
      <protection locked="0"/>
    </xf>
    <xf numFmtId="0" fontId="0" fillId="6" borderId="13" xfId="0" applyFill="1" applyBorder="1" applyAlignment="1" applyProtection="1">
      <alignment horizontal="left" vertical="center"/>
      <protection locked="0"/>
    </xf>
    <xf numFmtId="0" fontId="0" fillId="6" borderId="32" xfId="0" applyFill="1" applyBorder="1" applyAlignment="1" applyProtection="1">
      <alignment horizontal="left"/>
      <protection locked="0"/>
    </xf>
    <xf numFmtId="0" fontId="0" fillId="6" borderId="11" xfId="0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6" borderId="9" xfId="0" applyFill="1" applyBorder="1" applyAlignment="1" applyProtection="1">
      <alignment horizontal="center"/>
      <protection locked="0"/>
    </xf>
    <xf numFmtId="0" fontId="0" fillId="6" borderId="10" xfId="0" applyFill="1" applyBorder="1" applyAlignment="1" applyProtection="1">
      <alignment horizontal="center"/>
      <protection locked="0"/>
    </xf>
    <xf numFmtId="0" fontId="0" fillId="6" borderId="6" xfId="0" applyFill="1" applyBorder="1" applyAlignment="1" applyProtection="1">
      <alignment horizontal="center"/>
      <protection locked="0"/>
    </xf>
    <xf numFmtId="0" fontId="0" fillId="6" borderId="8" xfId="0" applyFill="1" applyBorder="1" applyAlignment="1" applyProtection="1">
      <alignment horizontal="center"/>
      <protection locked="0"/>
    </xf>
    <xf numFmtId="0" fontId="3" fillId="4" borderId="14" xfId="0" applyFont="1" applyFill="1" applyBorder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0" fillId="6" borderId="2" xfId="1" applyNumberFormat="1" applyFont="1" applyFill="1" applyBorder="1" applyAlignment="1" applyProtection="1">
      <alignment horizontal="center" vertical="center"/>
      <protection locked="0"/>
    </xf>
    <xf numFmtId="0" fontId="0" fillId="6" borderId="53" xfId="1" applyNumberFormat="1" applyFont="1" applyFill="1" applyBorder="1" applyAlignment="1" applyProtection="1">
      <alignment horizontal="center" vertical="center"/>
      <protection locked="0"/>
    </xf>
    <xf numFmtId="164" fontId="34" fillId="19" borderId="4" xfId="1" applyNumberFormat="1" applyFont="1" applyFill="1" applyBorder="1" applyAlignment="1">
      <alignment horizontal="center" vertical="center"/>
    </xf>
    <xf numFmtId="164" fontId="34" fillId="19" borderId="5" xfId="1" applyNumberFormat="1" applyFont="1" applyFill="1" applyBorder="1" applyAlignment="1">
      <alignment horizontal="center" vertical="center"/>
    </xf>
    <xf numFmtId="0" fontId="0" fillId="6" borderId="7" xfId="1" applyNumberFormat="1" applyFont="1" applyFill="1" applyBorder="1" applyAlignment="1" applyProtection="1">
      <alignment horizontal="center" vertical="center"/>
      <protection locked="0"/>
    </xf>
    <xf numFmtId="0" fontId="0" fillId="6" borderId="8" xfId="1" applyNumberFormat="1" applyFont="1" applyFill="1" applyBorder="1" applyAlignment="1" applyProtection="1">
      <alignment horizontal="center" vertical="center"/>
      <protection locked="0"/>
    </xf>
    <xf numFmtId="0" fontId="0" fillId="6" borderId="12" xfId="1" applyNumberFormat="1" applyFont="1" applyFill="1" applyBorder="1" applyAlignment="1" applyProtection="1">
      <alignment horizontal="center" vertical="center"/>
      <protection locked="0"/>
    </xf>
    <xf numFmtId="0" fontId="0" fillId="6" borderId="13" xfId="1" applyNumberFormat="1" applyFont="1" applyFill="1" applyBorder="1" applyAlignment="1" applyProtection="1">
      <alignment horizontal="center" vertical="center"/>
      <protection locked="0"/>
    </xf>
    <xf numFmtId="0" fontId="0" fillId="6" borderId="1" xfId="1" applyNumberFormat="1" applyFont="1" applyFill="1" applyBorder="1" applyAlignment="1" applyProtection="1">
      <alignment horizontal="center" vertical="center"/>
      <protection locked="0"/>
    </xf>
    <xf numFmtId="0" fontId="0" fillId="6" borderId="10" xfId="1" applyNumberFormat="1" applyFont="1" applyFill="1" applyBorder="1" applyAlignment="1" applyProtection="1">
      <alignment horizontal="center" vertical="center"/>
      <protection locked="0"/>
    </xf>
    <xf numFmtId="0" fontId="36" fillId="6" borderId="14" xfId="0" applyFont="1" applyFill="1" applyBorder="1" applyAlignment="1">
      <alignment horizontal="center" vertical="center"/>
    </xf>
    <xf numFmtId="0" fontId="36" fillId="6" borderId="15" xfId="0" applyFont="1" applyFill="1" applyBorder="1" applyAlignment="1">
      <alignment horizontal="center" vertical="center"/>
    </xf>
    <xf numFmtId="0" fontId="36" fillId="6" borderId="16" xfId="0" applyFont="1" applyFill="1" applyBorder="1" applyAlignment="1">
      <alignment horizontal="center" vertical="center"/>
    </xf>
    <xf numFmtId="0" fontId="36" fillId="6" borderId="19" xfId="0" applyFont="1" applyFill="1" applyBorder="1" applyAlignment="1">
      <alignment horizontal="center" vertical="center"/>
    </xf>
    <xf numFmtId="0" fontId="36" fillId="6" borderId="20" xfId="0" applyFont="1" applyFill="1" applyBorder="1" applyAlignment="1">
      <alignment horizontal="center" vertical="center"/>
    </xf>
    <xf numFmtId="0" fontId="36" fillId="6" borderId="21" xfId="0" applyFont="1" applyFill="1" applyBorder="1" applyAlignment="1">
      <alignment horizontal="center" vertical="center"/>
    </xf>
    <xf numFmtId="165" fontId="0" fillId="6" borderId="7" xfId="1" applyNumberFormat="1" applyFont="1" applyFill="1" applyBorder="1" applyAlignment="1" applyProtection="1">
      <alignment horizontal="center" vertical="center" wrapText="1"/>
      <protection locked="0"/>
    </xf>
    <xf numFmtId="165" fontId="0" fillId="6" borderId="8" xfId="1" applyNumberFormat="1" applyFont="1" applyFill="1" applyBorder="1" applyAlignment="1" applyProtection="1">
      <alignment horizontal="center" vertical="center" wrapText="1"/>
      <protection locked="0"/>
    </xf>
    <xf numFmtId="0" fontId="3" fillId="4" borderId="29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19" borderId="14" xfId="0" applyFont="1" applyFill="1" applyBorder="1" applyAlignment="1">
      <alignment horizontal="center" vertical="center" wrapText="1"/>
    </xf>
    <xf numFmtId="0" fontId="3" fillId="19" borderId="19" xfId="0" applyFont="1" applyFill="1" applyBorder="1" applyAlignment="1">
      <alignment horizontal="center" vertical="center" wrapText="1"/>
    </xf>
    <xf numFmtId="0" fontId="4" fillId="6" borderId="27" xfId="0" applyFont="1" applyFill="1" applyBorder="1" applyAlignment="1">
      <alignment horizontal="center" vertical="center"/>
    </xf>
    <xf numFmtId="0" fontId="4" fillId="6" borderId="29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164" fontId="0" fillId="6" borderId="29" xfId="0" applyNumberFormat="1" applyFill="1" applyBorder="1" applyAlignment="1">
      <alignment horizontal="center" vertical="center"/>
    </xf>
    <xf numFmtId="164" fontId="0" fillId="6" borderId="28" xfId="0" applyNumberFormat="1" applyFill="1" applyBorder="1" applyAlignment="1">
      <alignment horizontal="center" vertical="center"/>
    </xf>
    <xf numFmtId="0" fontId="0" fillId="6" borderId="59" xfId="0" applyFill="1" applyBorder="1" applyAlignment="1" applyProtection="1">
      <alignment horizontal="center" vertical="center" wrapText="1"/>
      <protection locked="0"/>
    </xf>
    <xf numFmtId="0" fontId="0" fillId="6" borderId="50" xfId="0" applyFill="1" applyBorder="1" applyAlignment="1" applyProtection="1">
      <alignment horizontal="center" vertical="center" wrapText="1"/>
      <protection locked="0"/>
    </xf>
    <xf numFmtId="0" fontId="0" fillId="6" borderId="51" xfId="0" applyFill="1" applyBorder="1" applyAlignment="1" applyProtection="1">
      <alignment horizontal="center" vertical="center" wrapText="1"/>
      <protection locked="0"/>
    </xf>
    <xf numFmtId="0" fontId="0" fillId="6" borderId="22" xfId="0" applyFill="1" applyBorder="1" applyAlignment="1" applyProtection="1">
      <alignment horizontal="center" vertical="center" wrapText="1"/>
      <protection locked="0"/>
    </xf>
    <xf numFmtId="0" fontId="3" fillId="4" borderId="3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165" fontId="0" fillId="6" borderId="12" xfId="1" applyNumberFormat="1" applyFont="1" applyFill="1" applyBorder="1" applyAlignment="1" applyProtection="1">
      <alignment horizontal="center" vertical="center" wrapText="1"/>
      <protection locked="0"/>
    </xf>
    <xf numFmtId="165" fontId="0" fillId="6" borderId="13" xfId="1" applyNumberFormat="1" applyFont="1" applyFill="1" applyBorder="1" applyAlignment="1" applyProtection="1">
      <alignment horizontal="center" vertical="center" wrapText="1"/>
      <protection locked="0"/>
    </xf>
    <xf numFmtId="164" fontId="0" fillId="6" borderId="1" xfId="0" applyNumberFormat="1" applyFill="1" applyBorder="1" applyAlignment="1" applyProtection="1">
      <alignment horizontal="center" vertical="center" wrapText="1"/>
      <protection locked="0"/>
    </xf>
    <xf numFmtId="164" fontId="0" fillId="6" borderId="10" xfId="0" applyNumberFormat="1" applyFill="1" applyBorder="1" applyAlignment="1" applyProtection="1">
      <alignment horizontal="center" vertical="center" wrapText="1"/>
      <protection locked="0"/>
    </xf>
    <xf numFmtId="0" fontId="0" fillId="6" borderId="49" xfId="0" applyFill="1" applyBorder="1" applyAlignment="1" applyProtection="1">
      <alignment horizontal="center" vertical="center" wrapText="1"/>
      <protection locked="0"/>
    </xf>
    <xf numFmtId="0" fontId="0" fillId="6" borderId="23" xfId="0" applyFill="1" applyBorder="1" applyAlignment="1" applyProtection="1">
      <alignment horizontal="center" vertical="center" wrapText="1"/>
      <protection locked="0"/>
    </xf>
    <xf numFmtId="0" fontId="3" fillId="9" borderId="0" xfId="0" applyFont="1" applyFill="1" applyAlignment="1">
      <alignment horizontal="center" vertical="center"/>
    </xf>
    <xf numFmtId="164" fontId="34" fillId="9" borderId="0" xfId="1" applyNumberFormat="1" applyFont="1" applyFill="1" applyBorder="1" applyAlignment="1" applyProtection="1">
      <alignment horizontal="center" vertical="center"/>
    </xf>
    <xf numFmtId="0" fontId="0" fillId="6" borderId="11" xfId="0" applyFill="1" applyBorder="1" applyAlignment="1" applyProtection="1">
      <alignment horizontal="center" vertical="center"/>
      <protection locked="0"/>
    </xf>
    <xf numFmtId="0" fontId="0" fillId="6" borderId="12" xfId="0" applyFill="1" applyBorder="1" applyAlignment="1" applyProtection="1">
      <alignment horizontal="center" vertical="center"/>
      <protection locked="0"/>
    </xf>
    <xf numFmtId="0" fontId="0" fillId="6" borderId="6" xfId="0" applyFill="1" applyBorder="1" applyAlignment="1" applyProtection="1">
      <alignment horizontal="center" vertical="center"/>
      <protection locked="0"/>
    </xf>
    <xf numFmtId="0" fontId="0" fillId="6" borderId="7" xfId="0" applyFill="1" applyBorder="1" applyAlignment="1" applyProtection="1">
      <alignment horizontal="center" vertical="center"/>
      <protection locked="0"/>
    </xf>
    <xf numFmtId="0" fontId="0" fillId="6" borderId="9" xfId="0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>
      <alignment horizontal="center" vertical="center"/>
    </xf>
    <xf numFmtId="0" fontId="0" fillId="6" borderId="49" xfId="0" applyFill="1" applyBorder="1" applyAlignment="1" applyProtection="1">
      <alignment horizontal="center" vertical="center"/>
      <protection locked="0"/>
    </xf>
    <xf numFmtId="0" fontId="0" fillId="6" borderId="23" xfId="0" applyFill="1" applyBorder="1" applyAlignment="1" applyProtection="1">
      <alignment horizontal="center" vertical="center"/>
      <protection locked="0"/>
    </xf>
    <xf numFmtId="0" fontId="0" fillId="6" borderId="51" xfId="0" applyFill="1" applyBorder="1" applyAlignment="1" applyProtection="1">
      <alignment horizontal="center" vertical="center"/>
      <protection locked="0"/>
    </xf>
    <xf numFmtId="0" fontId="0" fillId="6" borderId="22" xfId="0" applyFill="1" applyBorder="1" applyAlignment="1" applyProtection="1">
      <alignment horizontal="center" vertical="center"/>
      <protection locked="0"/>
    </xf>
    <xf numFmtId="9" fontId="3" fillId="19" borderId="4" xfId="2" applyFont="1" applyFill="1" applyBorder="1" applyAlignment="1">
      <alignment horizontal="center" vertical="center"/>
    </xf>
    <xf numFmtId="9" fontId="3" fillId="19" borderId="5" xfId="2" applyFont="1" applyFill="1" applyBorder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3" fillId="9" borderId="15" xfId="0" applyFont="1" applyFill="1" applyBorder="1" applyAlignment="1">
      <alignment horizontal="center"/>
    </xf>
    <xf numFmtId="0" fontId="3" fillId="19" borderId="61" xfId="0" applyFont="1" applyFill="1" applyBorder="1" applyAlignment="1">
      <alignment horizontal="center" vertical="center"/>
    </xf>
    <xf numFmtId="0" fontId="3" fillId="19" borderId="60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43" fillId="19" borderId="3" xfId="0" applyFont="1" applyFill="1" applyBorder="1" applyAlignment="1">
      <alignment horizontal="center" vertical="center"/>
    </xf>
    <xf numFmtId="0" fontId="43" fillId="19" borderId="4" xfId="0" applyFont="1" applyFill="1" applyBorder="1" applyAlignment="1">
      <alignment horizontal="center" vertical="center"/>
    </xf>
    <xf numFmtId="0" fontId="43" fillId="19" borderId="5" xfId="0" applyFont="1" applyFill="1" applyBorder="1" applyAlignment="1">
      <alignment horizontal="center" vertical="center"/>
    </xf>
    <xf numFmtId="0" fontId="36" fillId="17" borderId="14" xfId="0" applyFont="1" applyFill="1" applyBorder="1" applyAlignment="1">
      <alignment horizontal="center" vertical="center"/>
    </xf>
    <xf numFmtId="0" fontId="36" fillId="17" borderId="15" xfId="0" applyFont="1" applyFill="1" applyBorder="1" applyAlignment="1">
      <alignment horizontal="center" vertical="center"/>
    </xf>
    <xf numFmtId="0" fontId="36" fillId="17" borderId="16" xfId="0" applyFont="1" applyFill="1" applyBorder="1" applyAlignment="1">
      <alignment horizontal="center" vertical="center"/>
    </xf>
    <xf numFmtId="0" fontId="36" fillId="17" borderId="19" xfId="0" applyFont="1" applyFill="1" applyBorder="1" applyAlignment="1">
      <alignment horizontal="center" vertical="center"/>
    </xf>
    <xf numFmtId="0" fontId="36" fillId="17" borderId="20" xfId="0" applyFont="1" applyFill="1" applyBorder="1" applyAlignment="1">
      <alignment horizontal="center" vertical="center"/>
    </xf>
    <xf numFmtId="0" fontId="36" fillId="17" borderId="21" xfId="0" applyFont="1" applyFill="1" applyBorder="1" applyAlignment="1">
      <alignment horizontal="center" vertical="center"/>
    </xf>
    <xf numFmtId="0" fontId="0" fillId="9" borderId="0" xfId="0" applyFill="1" applyAlignment="1" applyProtection="1">
      <alignment horizontal="center" wrapText="1"/>
      <protection locked="0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4" fillId="6" borderId="27" xfId="0" applyFont="1" applyFill="1" applyBorder="1" applyAlignment="1">
      <alignment horizontal="center"/>
    </xf>
    <xf numFmtId="0" fontId="4" fillId="6" borderId="29" xfId="0" applyFont="1" applyFill="1" applyBorder="1" applyAlignment="1">
      <alignment horizontal="center"/>
    </xf>
    <xf numFmtId="0" fontId="35" fillId="17" borderId="27" xfId="0" applyFont="1" applyFill="1" applyBorder="1" applyAlignment="1">
      <alignment horizontal="center"/>
    </xf>
    <xf numFmtId="0" fontId="35" fillId="17" borderId="29" xfId="0" applyFont="1" applyFill="1" applyBorder="1" applyAlignment="1">
      <alignment horizontal="center"/>
    </xf>
    <xf numFmtId="0" fontId="35" fillId="17" borderId="51" xfId="0" applyFont="1" applyFill="1" applyBorder="1" applyAlignment="1">
      <alignment horizontal="center" vertical="center"/>
    </xf>
    <xf numFmtId="0" fontId="35" fillId="17" borderId="47" xfId="0" applyFont="1" applyFill="1" applyBorder="1" applyAlignment="1">
      <alignment horizontal="center" vertical="center"/>
    </xf>
    <xf numFmtId="0" fontId="35" fillId="17" borderId="26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8" fillId="16" borderId="54" xfId="0" applyFont="1" applyFill="1" applyBorder="1" applyAlignment="1">
      <alignment horizontal="center" vertical="center"/>
    </xf>
    <xf numFmtId="0" fontId="38" fillId="16" borderId="52" xfId="0" applyFont="1" applyFill="1" applyBorder="1" applyAlignment="1">
      <alignment horizontal="center" vertical="center"/>
    </xf>
    <xf numFmtId="0" fontId="35" fillId="17" borderId="27" xfId="0" applyFont="1" applyFill="1" applyBorder="1" applyAlignment="1">
      <alignment horizontal="center" vertical="center"/>
    </xf>
    <xf numFmtId="0" fontId="35" fillId="17" borderId="29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/>
    </xf>
    <xf numFmtId="10" fontId="0" fillId="6" borderId="7" xfId="1" applyNumberFormat="1" applyFont="1" applyFill="1" applyBorder="1" applyAlignment="1" applyProtection="1">
      <alignment horizontal="right" vertical="center"/>
      <protection locked="0"/>
    </xf>
    <xf numFmtId="44" fontId="0" fillId="6" borderId="7" xfId="1" applyFont="1" applyFill="1" applyBorder="1" applyAlignment="1" applyProtection="1">
      <alignment horizontal="right" vertical="center"/>
      <protection locked="0"/>
    </xf>
    <xf numFmtId="9" fontId="0" fillId="6" borderId="1" xfId="1" applyNumberFormat="1" applyFont="1" applyFill="1" applyBorder="1" applyAlignment="1" applyProtection="1">
      <alignment horizontal="right" vertical="center"/>
      <protection locked="0"/>
    </xf>
    <xf numFmtId="44" fontId="0" fillId="6" borderId="1" xfId="1" applyFont="1" applyFill="1" applyBorder="1" applyAlignment="1" applyProtection="1">
      <alignment horizontal="right" vertical="center"/>
      <protection locked="0"/>
    </xf>
    <xf numFmtId="44" fontId="0" fillId="6" borderId="1" xfId="1" applyFont="1" applyFill="1" applyBorder="1" applyAlignment="1" applyProtection="1">
      <alignment horizontal="left" vertical="center"/>
      <protection locked="0"/>
    </xf>
    <xf numFmtId="44" fontId="0" fillId="6" borderId="12" xfId="1" applyFont="1" applyFill="1" applyBorder="1" applyAlignment="1" applyProtection="1">
      <alignment horizontal="left" vertical="center"/>
      <protection locked="0"/>
    </xf>
    <xf numFmtId="0" fontId="3" fillId="4" borderId="0" xfId="0" applyFont="1" applyFill="1" applyAlignment="1">
      <alignment horizontal="center" vertical="center"/>
    </xf>
    <xf numFmtId="164" fontId="0" fillId="6" borderId="3" xfId="1" applyNumberFormat="1" applyFont="1" applyFill="1" applyBorder="1" applyAlignment="1" applyProtection="1">
      <alignment horizontal="center"/>
      <protection locked="0"/>
    </xf>
    <xf numFmtId="164" fontId="0" fillId="6" borderId="5" xfId="1" applyNumberFormat="1" applyFont="1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 vertical="center" wrapText="1"/>
      <protection locked="0"/>
    </xf>
    <xf numFmtId="0" fontId="0" fillId="6" borderId="58" xfId="0" applyFill="1" applyBorder="1" applyAlignment="1" applyProtection="1">
      <alignment horizontal="center" vertical="center" wrapText="1"/>
      <protection locked="0"/>
    </xf>
    <xf numFmtId="0" fontId="0" fillId="6" borderId="53" xfId="0" applyFill="1" applyBorder="1" applyAlignment="1" applyProtection="1">
      <alignment horizontal="center" vertical="center" wrapText="1"/>
      <protection locked="0"/>
    </xf>
    <xf numFmtId="0" fontId="0" fillId="6" borderId="12" xfId="0" applyFill="1" applyBorder="1" applyAlignment="1" applyProtection="1">
      <alignment horizontal="center" vertical="center" wrapText="1"/>
      <protection locked="0"/>
    </xf>
    <xf numFmtId="0" fontId="0" fillId="6" borderId="13" xfId="0" applyFill="1" applyBorder="1" applyAlignment="1" applyProtection="1">
      <alignment horizontal="center" vertical="center" wrapText="1"/>
      <protection locked="0"/>
    </xf>
    <xf numFmtId="0" fontId="35" fillId="11" borderId="3" xfId="0" applyFont="1" applyFill="1" applyBorder="1" applyAlignment="1">
      <alignment horizontal="center"/>
    </xf>
    <xf numFmtId="0" fontId="35" fillId="11" borderId="4" xfId="0" applyFont="1" applyFill="1" applyBorder="1" applyAlignment="1">
      <alignment horizontal="center"/>
    </xf>
    <xf numFmtId="0" fontId="35" fillId="11" borderId="5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left"/>
    </xf>
    <xf numFmtId="0" fontId="6" fillId="4" borderId="4" xfId="0" applyFont="1" applyFill="1" applyBorder="1" applyAlignment="1">
      <alignment horizontal="left"/>
    </xf>
    <xf numFmtId="0" fontId="6" fillId="4" borderId="5" xfId="0" applyFont="1" applyFill="1" applyBorder="1" applyAlignment="1">
      <alignment horizontal="left"/>
    </xf>
    <xf numFmtId="0" fontId="5" fillId="19" borderId="29" xfId="0" applyFont="1" applyFill="1" applyBorder="1" applyAlignment="1">
      <alignment horizontal="center" vertical="center"/>
    </xf>
    <xf numFmtId="0" fontId="5" fillId="19" borderId="28" xfId="0" applyFont="1" applyFill="1" applyBorder="1" applyAlignment="1">
      <alignment horizontal="center" vertical="center"/>
    </xf>
    <xf numFmtId="0" fontId="0" fillId="6" borderId="7" xfId="0" applyFill="1" applyBorder="1" applyAlignment="1" applyProtection="1">
      <alignment horizontal="center" vertical="center" wrapText="1"/>
      <protection locked="0"/>
    </xf>
    <xf numFmtId="0" fontId="0" fillId="6" borderId="8" xfId="0" applyFill="1" applyBorder="1" applyAlignment="1" applyProtection="1">
      <alignment horizontal="center" vertical="center" wrapText="1"/>
      <protection locked="0"/>
    </xf>
    <xf numFmtId="0" fontId="0" fillId="6" borderId="1" xfId="0" applyFill="1" applyBorder="1" applyAlignment="1" applyProtection="1">
      <alignment horizontal="center" vertical="center" wrapText="1"/>
      <protection locked="0"/>
    </xf>
    <xf numFmtId="0" fontId="0" fillId="6" borderId="10" xfId="0" applyFill="1" applyBorder="1" applyAlignment="1" applyProtection="1">
      <alignment horizontal="center" vertical="center" wrapText="1"/>
      <protection locked="0"/>
    </xf>
    <xf numFmtId="0" fontId="13" fillId="6" borderId="14" xfId="0" applyFont="1" applyFill="1" applyBorder="1" applyAlignment="1">
      <alignment horizontal="center" vertical="center"/>
    </xf>
    <xf numFmtId="0" fontId="13" fillId="6" borderId="15" xfId="0" applyFont="1" applyFill="1" applyBorder="1" applyAlignment="1">
      <alignment horizontal="center" vertical="center"/>
    </xf>
    <xf numFmtId="0" fontId="13" fillId="6" borderId="16" xfId="0" applyFont="1" applyFill="1" applyBorder="1" applyAlignment="1">
      <alignment horizontal="center" vertical="center"/>
    </xf>
    <xf numFmtId="0" fontId="13" fillId="6" borderId="19" xfId="0" applyFont="1" applyFill="1" applyBorder="1" applyAlignment="1">
      <alignment horizontal="center" vertical="center"/>
    </xf>
    <xf numFmtId="0" fontId="13" fillId="6" borderId="20" xfId="0" applyFont="1" applyFill="1" applyBorder="1" applyAlignment="1">
      <alignment horizontal="center" vertical="center"/>
    </xf>
    <xf numFmtId="0" fontId="13" fillId="6" borderId="21" xfId="0" applyFont="1" applyFill="1" applyBorder="1" applyAlignment="1">
      <alignment horizontal="center" vertical="center"/>
    </xf>
    <xf numFmtId="0" fontId="5" fillId="19" borderId="3" xfId="0" applyFont="1" applyFill="1" applyBorder="1" applyAlignment="1">
      <alignment horizontal="center" vertical="center"/>
    </xf>
    <xf numFmtId="0" fontId="5" fillId="19" borderId="4" xfId="0" applyFont="1" applyFill="1" applyBorder="1" applyAlignment="1">
      <alignment horizontal="center" vertical="center"/>
    </xf>
    <xf numFmtId="0" fontId="5" fillId="19" borderId="5" xfId="0" applyFont="1" applyFill="1" applyBorder="1" applyAlignment="1">
      <alignment horizontal="center" vertical="center"/>
    </xf>
    <xf numFmtId="0" fontId="5" fillId="19" borderId="3" xfId="0" applyFont="1" applyFill="1" applyBorder="1" applyAlignment="1">
      <alignment horizontal="center" vertical="center" wrapText="1"/>
    </xf>
    <xf numFmtId="0" fontId="13" fillId="6" borderId="17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9" fillId="2" borderId="3" xfId="3" applyFont="1" applyFill="1" applyBorder="1" applyAlignment="1" applyProtection="1">
      <alignment horizontal="center"/>
      <protection hidden="1"/>
    </xf>
    <xf numFmtId="0" fontId="9" fillId="2" borderId="4" xfId="3" applyFont="1" applyFill="1" applyBorder="1" applyAlignment="1" applyProtection="1">
      <alignment horizontal="center"/>
      <protection hidden="1"/>
    </xf>
    <xf numFmtId="0" fontId="9" fillId="2" borderId="5" xfId="3" applyFont="1" applyFill="1" applyBorder="1" applyAlignment="1" applyProtection="1">
      <alignment horizontal="center"/>
      <protection hidden="1"/>
    </xf>
    <xf numFmtId="0" fontId="16" fillId="12" borderId="14" xfId="3" applyFont="1" applyFill="1" applyBorder="1" applyAlignment="1" applyProtection="1">
      <alignment horizontal="center"/>
      <protection hidden="1"/>
    </xf>
    <xf numFmtId="0" fontId="16" fillId="12" borderId="15" xfId="3" applyFont="1" applyFill="1" applyBorder="1" applyAlignment="1" applyProtection="1">
      <alignment horizontal="center"/>
      <protection hidden="1"/>
    </xf>
    <xf numFmtId="0" fontId="16" fillId="12" borderId="16" xfId="3" applyFont="1" applyFill="1" applyBorder="1" applyAlignment="1" applyProtection="1">
      <alignment horizontal="center"/>
      <protection hidden="1"/>
    </xf>
    <xf numFmtId="0" fontId="9" fillId="2" borderId="15" xfId="3" applyFont="1" applyFill="1" applyBorder="1" applyAlignment="1" applyProtection="1">
      <alignment horizontal="center"/>
      <protection hidden="1"/>
    </xf>
    <xf numFmtId="0" fontId="16" fillId="12" borderId="33" xfId="3" applyFont="1" applyFill="1" applyBorder="1" applyAlignment="1" applyProtection="1">
      <alignment horizontal="center"/>
      <protection hidden="1"/>
    </xf>
    <xf numFmtId="0" fontId="11" fillId="0" borderId="4" xfId="3" applyFont="1" applyBorder="1" applyAlignment="1" applyProtection="1">
      <alignment horizontal="center"/>
      <protection hidden="1"/>
    </xf>
    <xf numFmtId="0" fontId="11" fillId="0" borderId="14" xfId="3" applyFont="1" applyBorder="1" applyAlignment="1" applyProtection="1">
      <alignment horizontal="center"/>
      <protection hidden="1"/>
    </xf>
    <xf numFmtId="0" fontId="11" fillId="0" borderId="17" xfId="3" applyFont="1" applyBorder="1" applyAlignment="1" applyProtection="1">
      <alignment horizontal="center"/>
      <protection hidden="1"/>
    </xf>
    <xf numFmtId="0" fontId="11" fillId="0" borderId="19" xfId="3" applyFont="1" applyBorder="1" applyAlignment="1" applyProtection="1">
      <alignment horizontal="center"/>
      <protection hidden="1"/>
    </xf>
    <xf numFmtId="0" fontId="11" fillId="0" borderId="16" xfId="3" applyFont="1" applyBorder="1" applyAlignment="1" applyProtection="1">
      <alignment horizontal="center"/>
      <protection hidden="1"/>
    </xf>
    <xf numFmtId="0" fontId="11" fillId="0" borderId="18" xfId="3" applyFont="1" applyBorder="1" applyAlignment="1" applyProtection="1">
      <alignment horizontal="center"/>
      <protection hidden="1"/>
    </xf>
    <xf numFmtId="0" fontId="11" fillId="0" borderId="21" xfId="3" applyFont="1" applyBorder="1" applyAlignment="1" applyProtection="1">
      <alignment horizontal="center"/>
      <protection hidden="1"/>
    </xf>
    <xf numFmtId="0" fontId="11" fillId="0" borderId="38" xfId="3" applyFont="1" applyBorder="1" applyAlignment="1" applyProtection="1">
      <alignment horizontal="center"/>
      <protection hidden="1"/>
    </xf>
    <xf numFmtId="0" fontId="11" fillId="0" borderId="40" xfId="3" applyFont="1" applyBorder="1" applyAlignment="1" applyProtection="1">
      <alignment horizontal="center"/>
      <protection hidden="1"/>
    </xf>
    <xf numFmtId="0" fontId="11" fillId="0" borderId="0" xfId="3" applyFont="1" applyAlignment="1" applyProtection="1">
      <alignment horizontal="center"/>
      <protection hidden="1"/>
    </xf>
    <xf numFmtId="0" fontId="11" fillId="0" borderId="20" xfId="3" applyFont="1" applyBorder="1" applyAlignment="1" applyProtection="1">
      <alignment horizontal="center"/>
      <protection hidden="1"/>
    </xf>
    <xf numFmtId="0" fontId="11" fillId="0" borderId="15" xfId="3" applyFont="1" applyBorder="1" applyAlignment="1" applyProtection="1">
      <alignment horizontal="center"/>
      <protection hidden="1"/>
    </xf>
    <xf numFmtId="0" fontId="3" fillId="2" borderId="3" xfId="3" applyFont="1" applyFill="1" applyBorder="1" applyAlignment="1" applyProtection="1">
      <alignment horizontal="center"/>
      <protection hidden="1"/>
    </xf>
    <xf numFmtId="0" fontId="3" fillId="2" borderId="4" xfId="3" applyFont="1" applyFill="1" applyBorder="1" applyAlignment="1" applyProtection="1">
      <alignment horizontal="center"/>
      <protection hidden="1"/>
    </xf>
    <xf numFmtId="0" fontId="3" fillId="2" borderId="5" xfId="3" applyFont="1" applyFill="1" applyBorder="1" applyAlignment="1" applyProtection="1">
      <alignment horizontal="center"/>
      <protection hidden="1"/>
    </xf>
    <xf numFmtId="0" fontId="11" fillId="0" borderId="5" xfId="3" applyFont="1" applyBorder="1" applyAlignment="1" applyProtection="1">
      <alignment horizontal="center"/>
      <protection hidden="1"/>
    </xf>
    <xf numFmtId="0" fontId="11" fillId="0" borderId="41" xfId="3" applyFont="1" applyBorder="1" applyAlignment="1" applyProtection="1">
      <alignment horizontal="center"/>
      <protection hidden="1"/>
    </xf>
    <xf numFmtId="0" fontId="17" fillId="10" borderId="14" xfId="5" applyFont="1" applyFill="1" applyBorder="1" applyAlignment="1" applyProtection="1">
      <alignment horizontal="center"/>
      <protection hidden="1"/>
    </xf>
    <xf numFmtId="0" fontId="17" fillId="10" borderId="15" xfId="5" applyFont="1" applyFill="1" applyBorder="1" applyAlignment="1" applyProtection="1">
      <alignment horizontal="center"/>
      <protection hidden="1"/>
    </xf>
    <xf numFmtId="0" fontId="17" fillId="10" borderId="16" xfId="5" applyFont="1" applyFill="1" applyBorder="1" applyAlignment="1" applyProtection="1">
      <alignment horizontal="center"/>
      <protection hidden="1"/>
    </xf>
    <xf numFmtId="0" fontId="19" fillId="10" borderId="17" xfId="6" applyFont="1" applyFill="1" applyBorder="1" applyAlignment="1" applyProtection="1">
      <alignment horizontal="center" vertical="center"/>
      <protection hidden="1"/>
    </xf>
    <xf numFmtId="0" fontId="20" fillId="10" borderId="0" xfId="5" applyFont="1" applyFill="1" applyAlignment="1" applyProtection="1">
      <alignment horizontal="center" vertical="center"/>
      <protection hidden="1"/>
    </xf>
    <xf numFmtId="0" fontId="20" fillId="10" borderId="17" xfId="5" applyFont="1" applyFill="1" applyBorder="1" applyAlignment="1" applyProtection="1">
      <alignment horizontal="center" vertical="center"/>
      <protection hidden="1"/>
    </xf>
    <xf numFmtId="0" fontId="21" fillId="11" borderId="0" xfId="5" applyFont="1" applyFill="1" applyAlignment="1" applyProtection="1">
      <alignment horizontal="center" vertical="center"/>
      <protection hidden="1"/>
    </xf>
    <xf numFmtId="0" fontId="21" fillId="11" borderId="18" xfId="5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wrapText="1"/>
    </xf>
    <xf numFmtId="0" fontId="26" fillId="10" borderId="0" xfId="5" applyFont="1" applyFill="1" applyAlignment="1" applyProtection="1">
      <alignment horizontal="center" vertical="center"/>
      <protection hidden="1"/>
    </xf>
    <xf numFmtId="0" fontId="26" fillId="10" borderId="18" xfId="5" applyFont="1" applyFill="1" applyBorder="1" applyAlignment="1" applyProtection="1">
      <alignment horizontal="center" vertical="center"/>
      <protection hidden="1"/>
    </xf>
    <xf numFmtId="0" fontId="28" fillId="10" borderId="17" xfId="5" applyFont="1" applyFill="1" applyBorder="1" applyAlignment="1" applyProtection="1">
      <alignment horizontal="center"/>
      <protection hidden="1"/>
    </xf>
    <xf numFmtId="0" fontId="28" fillId="10" borderId="0" xfId="5" applyFont="1" applyFill="1" applyAlignment="1" applyProtection="1">
      <alignment horizontal="center"/>
      <protection hidden="1"/>
    </xf>
    <xf numFmtId="0" fontId="28" fillId="10" borderId="18" xfId="5" applyFont="1" applyFill="1" applyBorder="1" applyAlignment="1" applyProtection="1">
      <alignment horizontal="center"/>
      <protection hidden="1"/>
    </xf>
  </cellXfs>
  <cellStyles count="8">
    <cellStyle name="Lien hypertexte" xfId="7" builtinId="8"/>
    <cellStyle name="Lien hypertexte 2" xfId="6" xr:uid="{7DB2EE04-F387-4C1A-B30A-1608DC2CC016}"/>
    <cellStyle name="Monétaire" xfId="1" builtinId="4"/>
    <cellStyle name="Normal" xfId="0" builtinId="0"/>
    <cellStyle name="Normal 2" xfId="3" xr:uid="{E5317AC8-BE8E-4A58-A056-E5C68CECB46A}"/>
    <cellStyle name="Normal 3" xfId="5" xr:uid="{FB52C553-E5CB-4E34-9865-2BA7CC64987C}"/>
    <cellStyle name="Pourcentage" xfId="2" builtinId="5"/>
    <cellStyle name="Pourcentage 2" xfId="4" xr:uid="{7D44687D-9040-413A-9874-8316393120C3}"/>
  </cellStyles>
  <dxfs count="0"/>
  <tableStyles count="0" defaultTableStyle="TableStyleMedium2" defaultPivotStyle="PivotStyleLight16"/>
  <colors>
    <mruColors>
      <color rgb="FF88A3BE"/>
      <color rgb="FF213444"/>
      <color rgb="FFDFC341"/>
      <color rgb="FFF2CA00"/>
      <color rgb="FFA17B64"/>
      <color rgb="FFFFFFFF"/>
      <color rgb="FF8393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8964</xdr:rowOff>
    </xdr:from>
    <xdr:to>
      <xdr:col>14</xdr:col>
      <xdr:colOff>10871</xdr:colOff>
      <xdr:row>30</xdr:row>
      <xdr:rowOff>163269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2" b="13610"/>
        <a:stretch/>
      </xdr:blipFill>
      <xdr:spPr>
        <a:xfrm>
          <a:off x="340659" y="995082"/>
          <a:ext cx="10963836" cy="5298140"/>
        </a:xfrm>
        <a:prstGeom prst="rect">
          <a:avLst/>
        </a:prstGeom>
      </xdr:spPr>
    </xdr:pic>
    <xdr:clientData/>
  </xdr:twoCellAnchor>
  <xdr:twoCellAnchor>
    <xdr:from>
      <xdr:col>5</xdr:col>
      <xdr:colOff>748554</xdr:colOff>
      <xdr:row>5</xdr:row>
      <xdr:rowOff>188259</xdr:rowOff>
    </xdr:from>
    <xdr:to>
      <xdr:col>9</xdr:col>
      <xdr:colOff>103094</xdr:colOff>
      <xdr:row>18</xdr:row>
      <xdr:rowOff>134471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459942" y="1174377"/>
          <a:ext cx="2725270" cy="2725270"/>
        </a:xfrm>
        <a:prstGeom prst="rect">
          <a:avLst/>
        </a:prstGeom>
        <a:solidFill>
          <a:schemeClr val="bg1">
            <a:alpha val="50000"/>
          </a:schemeClr>
        </a:solidFill>
        <a:ln w="381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578225</xdr:colOff>
      <xdr:row>19</xdr:row>
      <xdr:rowOff>89647</xdr:rowOff>
    </xdr:from>
    <xdr:to>
      <xdr:col>12</xdr:col>
      <xdr:colOff>273423</xdr:colOff>
      <xdr:row>28</xdr:row>
      <xdr:rowOff>152399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761566" y="4052047"/>
          <a:ext cx="8122022" cy="1837764"/>
        </a:xfrm>
        <a:prstGeom prst="rect">
          <a:avLst/>
        </a:prstGeom>
        <a:solidFill>
          <a:srgbClr val="88A3BE"/>
        </a:solidFill>
        <a:ln w="38100">
          <a:solidFill>
            <a:srgbClr val="21344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fr-FR" sz="3600">
              <a:solidFill>
                <a:schemeClr val="bg1"/>
              </a:solidFill>
            </a:rPr>
            <a:t>Stéphane BERAL</a:t>
          </a:r>
          <a:br>
            <a:rPr lang="fr-FR" sz="3600">
              <a:solidFill>
                <a:schemeClr val="bg1"/>
              </a:solidFill>
            </a:rPr>
          </a:br>
          <a:r>
            <a:rPr lang="fr-FR" sz="3600">
              <a:solidFill>
                <a:schemeClr val="bg1"/>
              </a:solidFill>
            </a:rPr>
            <a:t>Mélanie</a:t>
          </a:r>
          <a:r>
            <a:rPr lang="fr-FR" sz="3600" baseline="0">
              <a:solidFill>
                <a:schemeClr val="bg1"/>
              </a:solidFill>
            </a:rPr>
            <a:t> BOLLON</a:t>
          </a:r>
          <a:endParaRPr lang="fr-F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6</xdr:col>
      <xdr:colOff>188259</xdr:colOff>
      <xdr:row>6</xdr:row>
      <xdr:rowOff>233082</xdr:rowOff>
    </xdr:from>
    <xdr:to>
      <xdr:col>8</xdr:col>
      <xdr:colOff>658323</xdr:colOff>
      <xdr:row>17</xdr:row>
      <xdr:rowOff>53922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42330" y="1416423"/>
          <a:ext cx="2153523" cy="22092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87587</xdr:colOff>
      <xdr:row>1</xdr:row>
      <xdr:rowOff>43794</xdr:rowOff>
    </xdr:from>
    <xdr:to>
      <xdr:col>1</xdr:col>
      <xdr:colOff>478545</xdr:colOff>
      <xdr:row>2</xdr:row>
      <xdr:rowOff>206209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035" y="78828"/>
          <a:ext cx="394768" cy="40498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518160</xdr:colOff>
          <xdr:row>5</xdr:row>
          <xdr:rowOff>15240</xdr:rowOff>
        </xdr:from>
        <xdr:to>
          <xdr:col>11</xdr:col>
          <xdr:colOff>609600</xdr:colOff>
          <xdr:row>8</xdr:row>
          <xdr:rowOff>137160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EXPORTER</a:t>
              </a:r>
            </a:p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L'AUDIT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119270</xdr:colOff>
      <xdr:row>1</xdr:row>
      <xdr:rowOff>46382</xdr:rowOff>
    </xdr:from>
    <xdr:to>
      <xdr:col>1</xdr:col>
      <xdr:colOff>517848</xdr:colOff>
      <xdr:row>2</xdr:row>
      <xdr:rowOff>207196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722" y="86139"/>
          <a:ext cx="394768" cy="404985"/>
        </a:xfrm>
        <a:prstGeom prst="rect">
          <a:avLst/>
        </a:prstGeom>
      </xdr:spPr>
    </xdr:pic>
    <xdr:clientData/>
  </xdr:twoCellAnchor>
  <xdr:twoCellAnchor editAs="oneCell">
    <xdr:from>
      <xdr:col>1</xdr:col>
      <xdr:colOff>145773</xdr:colOff>
      <xdr:row>36</xdr:row>
      <xdr:rowOff>46382</xdr:rowOff>
    </xdr:from>
    <xdr:to>
      <xdr:col>1</xdr:col>
      <xdr:colOff>553876</xdr:colOff>
      <xdr:row>37</xdr:row>
      <xdr:rowOff>207195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25" y="4956312"/>
          <a:ext cx="394768" cy="4049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</xdr:row>
      <xdr:rowOff>38100</xdr:rowOff>
    </xdr:from>
    <xdr:to>
      <xdr:col>1</xdr:col>
      <xdr:colOff>470968</xdr:colOff>
      <xdr:row>2</xdr:row>
      <xdr:rowOff>191625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640" y="76200"/>
          <a:ext cx="394768" cy="40498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187036</xdr:colOff>
      <xdr:row>1</xdr:row>
      <xdr:rowOff>55418</xdr:rowOff>
    </xdr:from>
    <xdr:to>
      <xdr:col>1</xdr:col>
      <xdr:colOff>581804</xdr:colOff>
      <xdr:row>2</xdr:row>
      <xdr:rowOff>211022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091" y="96982"/>
          <a:ext cx="394768" cy="4049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99391</xdr:colOff>
      <xdr:row>1</xdr:row>
      <xdr:rowOff>53008</xdr:rowOff>
    </xdr:from>
    <xdr:to>
      <xdr:col>1</xdr:col>
      <xdr:colOff>494159</xdr:colOff>
      <xdr:row>2</xdr:row>
      <xdr:rowOff>210012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704" y="106017"/>
          <a:ext cx="394768" cy="40498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254977</xdr:colOff>
      <xdr:row>1</xdr:row>
      <xdr:rowOff>53926</xdr:rowOff>
    </xdr:from>
    <xdr:to>
      <xdr:col>1</xdr:col>
      <xdr:colOff>649745</xdr:colOff>
      <xdr:row>2</xdr:row>
      <xdr:rowOff>206865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3177" y="259080"/>
          <a:ext cx="394768" cy="4049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205154</xdr:colOff>
      <xdr:row>1</xdr:row>
      <xdr:rowOff>46892</xdr:rowOff>
    </xdr:from>
    <xdr:to>
      <xdr:col>1</xdr:col>
      <xdr:colOff>647700</xdr:colOff>
      <xdr:row>2</xdr:row>
      <xdr:rowOff>275008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8594" y="252632"/>
          <a:ext cx="442546" cy="464336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tienne ARNAUD" id="{EA4E7C0F-8973-4ED5-B392-F3507552F9E1}" userId="S::earnaud@tailored-finance.fr::26dbd6e4-4795-45a0-b588-4ccd82dd3f3f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2" dT="2022-12-15T10:45:24.20" personId="{EA4E7C0F-8973-4ED5-B392-F3507552F9E1}" id="{0DA5FFEE-24D5-4E6E-AEB2-1FCB1A3BA129}">
    <text>Plafond de 5959€ par personne pensionnée</text>
  </threadedComment>
  <threadedComment ref="G33" dT="2022-12-15T10:49:08.21" personId="{EA4E7C0F-8973-4ED5-B392-F3507552F9E1}" id="{C77B03D7-DD8E-46F7-A84B-2C23186E598D}">
    <text>Plafond de 10.000€ des niches fiscales commun avec les crédits d'impôt
Dons aux œuvres : Entre 66 et 75% des dépenses en fonction des organismes - Plafonné à 20% des revenus</text>
  </threadedComment>
  <threadedComment ref="G34" dT="2022-12-15T10:56:28.12" personId="{EA4E7C0F-8973-4ED5-B392-F3507552F9E1}" id="{8A40CE59-C7F2-4ECB-BA93-EC5F94674062}">
    <text>Plafond de 10.000€ des niches fiscales commun avec les réductions
Employés à domicile : 50% des dépenses plafonnées à 12.000€ (15.000€ pour la première année d'emploi) (soit 6000€ de CI ou 7500€ pour la première année d'emploi) + Majoration de 1.500€ par enfant ou personne de +65 ans à charge (dans la limite de deux majorations) (Soit 750€ de CI supplémentaire dans la limite de 2). Plafond total résumé : 7500€ de Crédit (9000€ la première année) AVEC LES MAJORATIONS 
Frais de garde extérieur : 50% des dépenses plafonnées à 2300€ par enfant (soit 1150€ de crédit d'impôt maxi)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8" dT="2022-12-15T11:03:10.41" personId="{EA4E7C0F-8973-4ED5-B392-F3507552F9E1}" id="{94D4351B-C691-4822-A824-E59C138FD2E5}">
    <text>ATTENTION - Mensualité assurance comprise</text>
  </threadedComment>
  <threadedComment ref="H13" dT="2022-12-15T11:03:23.14" personId="{EA4E7C0F-8973-4ED5-B392-F3507552F9E1}" id="{443C3DE1-196B-481D-95F0-46FF326E5F4A}">
    <text>ATTENTION - Mensualité assurance comprise</text>
  </threadedComment>
  <threadedComment ref="I13" dT="2022-12-15T11:03:53.47" personId="{EA4E7C0F-8973-4ED5-B392-F3507552F9E1}" id="{48BF648E-3C66-4799-8A9D-1D7FA1B72F48}">
    <text>Indiquez le loyer HORS CHARGE</text>
  </threadedComment>
  <threadedComment ref="H14" dT="2022-12-15T11:03:28.32" personId="{EA4E7C0F-8973-4ED5-B392-F3507552F9E1}" id="{814A89F7-63D6-467D-A8B1-73D841DC5CB5}">
    <text>ATTENTION - Mensualité assurance comprise</text>
  </threadedComment>
  <threadedComment ref="I14" dT="2022-12-15T11:03:55.89" personId="{EA4E7C0F-8973-4ED5-B392-F3507552F9E1}" id="{CB178046-EA58-4FF9-9303-F9BF8E9C91B7}">
    <text xml:space="preserve">Indiquez le loyer HORS CHARGE
</text>
  </threadedComment>
  <threadedComment ref="H15" dT="2022-12-15T11:03:31.03" personId="{EA4E7C0F-8973-4ED5-B392-F3507552F9E1}" id="{819C6BD4-72C6-4C86-A432-831BAAAED677}">
    <text>ATTENTION - Mensualité assurance comprise</text>
  </threadedComment>
  <threadedComment ref="I15" dT="2022-12-15T11:03:59.37" personId="{EA4E7C0F-8973-4ED5-B392-F3507552F9E1}" id="{498510B1-0CEE-41DB-A6B7-9AF8F6D71DEC}">
    <text xml:space="preserve">Indiquez le loyer HORS CHARGE
</text>
  </threadedComment>
  <threadedComment ref="H16" dT="2022-12-15T11:03:34.35" personId="{EA4E7C0F-8973-4ED5-B392-F3507552F9E1}" id="{A337F14E-4CE7-4EC5-814E-56341E0D11F2}">
    <text>ATTENTION - Mensualité assurance comprise</text>
  </threadedComment>
  <threadedComment ref="I16" dT="2022-12-15T11:04:02.41" personId="{EA4E7C0F-8973-4ED5-B392-F3507552F9E1}" id="{ECF5F3FC-E91B-49A9-86C3-74B6FC103792}">
    <text xml:space="preserve">Indiquez le loyer HORS CHARGE
</text>
  </threadedComment>
  <threadedComment ref="B41" dT="2022-12-15T11:02:10.77" personId="{EA4E7C0F-8973-4ED5-B392-F3507552F9E1}" id="{E9D243D8-ADB8-423F-AAD9-285272419F84}">
    <text>Livrets, Comptes courants, CEL...</text>
  </threadedComment>
  <threadedComment ref="B49" dT="2022-12-15T11:02:37.69" personId="{EA4E7C0F-8973-4ED5-B392-F3507552F9E1}" id="{511323BF-172A-4F57-8BE4-417119F0FA98}">
    <text>PPE, PERCO, PERIN, Assurance-vie, PEL</text>
  </threadedComment>
  <threadedComment ref="B56" dT="2022-12-15T11:02:48.15" personId="{EA4E7C0F-8973-4ED5-B392-F3507552F9E1}" id="{FB47D159-C280-4AE9-A356-A71610C023B1}">
    <text>Crypto, Actions en propre etc...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microsoft.com/office/2017/10/relationships/threadedComment" Target="../threadedComments/threadedComment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stephane.beral@gadz.org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.corrigetonimpot.fr/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www.corrigetonimpot.f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8EE21-49E0-7247-A0BB-8E69AD88DAC3}">
  <sheetPr codeName="Feuil2"/>
  <dimension ref="B2:N9"/>
  <sheetViews>
    <sheetView showGridLines="0" zoomScale="70" zoomScaleNormal="70" workbookViewId="0">
      <selection activeCell="T18" sqref="T18"/>
    </sheetView>
  </sheetViews>
  <sheetFormatPr baseColWidth="10" defaultColWidth="11" defaultRowHeight="15.6" x14ac:dyDescent="0.3"/>
  <cols>
    <col min="1" max="1" width="4.5" customWidth="1"/>
  </cols>
  <sheetData>
    <row r="2" spans="2:14" ht="1.2" customHeight="1" x14ac:dyDescent="0.3"/>
    <row r="3" spans="2:14" ht="16.2" thickBot="1" x14ac:dyDescent="0.35"/>
    <row r="4" spans="2:14" ht="28.95" customHeight="1" x14ac:dyDescent="0.3">
      <c r="B4" s="303" t="s">
        <v>0</v>
      </c>
      <c r="C4" s="304"/>
      <c r="D4" s="304"/>
      <c r="E4" s="304"/>
      <c r="F4" s="304"/>
      <c r="G4" s="304"/>
      <c r="H4" s="304"/>
      <c r="I4" s="304"/>
      <c r="J4" s="304"/>
      <c r="K4" s="304"/>
      <c r="L4" s="305"/>
      <c r="M4" s="309">
        <v>45034</v>
      </c>
      <c r="N4" s="310"/>
    </row>
    <row r="5" spans="2:14" ht="16.2" customHeight="1" thickBot="1" x14ac:dyDescent="0.35">
      <c r="B5" s="306"/>
      <c r="C5" s="307"/>
      <c r="D5" s="307"/>
      <c r="E5" s="307"/>
      <c r="F5" s="307"/>
      <c r="G5" s="307"/>
      <c r="H5" s="307"/>
      <c r="I5" s="307"/>
      <c r="J5" s="307"/>
      <c r="K5" s="307"/>
      <c r="L5" s="308"/>
      <c r="M5" s="311"/>
      <c r="N5" s="312"/>
    </row>
    <row r="6" spans="2:14" x14ac:dyDescent="0.3">
      <c r="M6" s="6"/>
    </row>
    <row r="7" spans="2:14" ht="21" x14ac:dyDescent="0.4">
      <c r="E7" s="302" t="s">
        <v>1</v>
      </c>
      <c r="F7" s="302"/>
      <c r="G7" s="302"/>
      <c r="H7" s="302"/>
      <c r="I7" s="302"/>
      <c r="J7" s="302"/>
      <c r="K7" s="302"/>
    </row>
    <row r="8" spans="2:14" ht="21" x14ac:dyDescent="0.4">
      <c r="E8" s="1"/>
      <c r="F8" s="1"/>
      <c r="G8" s="1"/>
      <c r="H8" s="151" t="s">
        <v>2</v>
      </c>
      <c r="I8" s="1"/>
      <c r="J8" s="1"/>
      <c r="K8" s="1"/>
    </row>
    <row r="9" spans="2:14" ht="21" x14ac:dyDescent="0.4">
      <c r="E9" s="1"/>
      <c r="F9" s="302" t="s">
        <v>3</v>
      </c>
      <c r="G9" s="302"/>
      <c r="H9" s="302"/>
      <c r="I9" s="302"/>
      <c r="J9" s="302"/>
      <c r="K9" s="1"/>
    </row>
  </sheetData>
  <mergeCells count="4">
    <mergeCell ref="E7:K7"/>
    <mergeCell ref="F9:J9"/>
    <mergeCell ref="B4:L5"/>
    <mergeCell ref="M4:N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576DA-2C50-1149-8224-352B088841D4}">
  <sheetPr codeName="Feuil3"/>
  <dimension ref="B1:K59"/>
  <sheetViews>
    <sheetView showGridLines="0" topLeftCell="A7" zoomScaleNormal="100" workbookViewId="0">
      <selection activeCell="L26" sqref="L26"/>
    </sheetView>
  </sheetViews>
  <sheetFormatPr baseColWidth="10" defaultColWidth="11" defaultRowHeight="15.6" x14ac:dyDescent="0.3"/>
  <cols>
    <col min="1" max="1" width="2.69921875" customWidth="1"/>
    <col min="2" max="2" width="22.69921875" customWidth="1"/>
    <col min="3" max="3" width="15.5" customWidth="1"/>
    <col min="4" max="4" width="10.59765625" customWidth="1"/>
    <col min="5" max="5" width="15.19921875" customWidth="1"/>
    <col min="6" max="6" width="19.69921875" customWidth="1"/>
    <col min="7" max="7" width="16.19921875" customWidth="1"/>
    <col min="8" max="8" width="16.69921875" customWidth="1"/>
    <col min="10" max="10" width="0" hidden="1" customWidth="1"/>
  </cols>
  <sheetData>
    <row r="1" spans="2:10" ht="3" customHeight="1" thickBot="1" x14ac:dyDescent="0.35"/>
    <row r="2" spans="2:10" ht="19.95" customHeight="1" x14ac:dyDescent="0.3">
      <c r="B2" s="328" t="s">
        <v>4</v>
      </c>
      <c r="C2" s="329"/>
      <c r="D2" s="329"/>
      <c r="E2" s="329"/>
      <c r="F2" s="329"/>
      <c r="G2" s="329"/>
      <c r="H2" s="330"/>
    </row>
    <row r="3" spans="2:10" ht="19.95" customHeight="1" thickBot="1" x14ac:dyDescent="0.35">
      <c r="B3" s="331"/>
      <c r="C3" s="332"/>
      <c r="D3" s="332"/>
      <c r="E3" s="332"/>
      <c r="F3" s="332"/>
      <c r="G3" s="332"/>
      <c r="H3" s="333"/>
    </row>
    <row r="4" spans="2:10" ht="3.45" customHeight="1" thickBot="1" x14ac:dyDescent="0.35"/>
    <row r="5" spans="2:10" ht="16.2" thickBot="1" x14ac:dyDescent="0.35">
      <c r="F5" s="316" t="s">
        <v>5</v>
      </c>
      <c r="G5" s="317"/>
      <c r="H5" s="318"/>
    </row>
    <row r="6" spans="2:10" ht="3.6" customHeight="1" thickBot="1" x14ac:dyDescent="0.35"/>
    <row r="7" spans="2:10" ht="16.2" thickBot="1" x14ac:dyDescent="0.35">
      <c r="B7" s="271" t="s">
        <v>6</v>
      </c>
      <c r="C7" s="340" t="s">
        <v>7</v>
      </c>
      <c r="D7" s="337"/>
      <c r="E7" s="341"/>
      <c r="F7" s="274" t="s">
        <v>8</v>
      </c>
      <c r="G7" s="275" t="s">
        <v>9</v>
      </c>
      <c r="H7" s="276" t="s">
        <v>10</v>
      </c>
      <c r="J7" t="s">
        <v>11</v>
      </c>
    </row>
    <row r="8" spans="2:10" x14ac:dyDescent="0.3">
      <c r="B8" s="272" t="s">
        <v>12</v>
      </c>
      <c r="C8" s="342" t="s">
        <v>13</v>
      </c>
      <c r="D8" s="335"/>
      <c r="E8" s="336"/>
      <c r="F8" s="189" t="s">
        <v>14</v>
      </c>
      <c r="G8" s="100">
        <v>113000</v>
      </c>
      <c r="H8" s="103">
        <f>G8*0.77</f>
        <v>87010</v>
      </c>
      <c r="J8" t="s">
        <v>15</v>
      </c>
    </row>
    <row r="9" spans="2:10" x14ac:dyDescent="0.3">
      <c r="B9" s="272" t="s">
        <v>16</v>
      </c>
      <c r="C9" s="334" t="s">
        <v>17</v>
      </c>
      <c r="D9" s="335"/>
      <c r="E9" s="336"/>
      <c r="F9" s="190" t="s">
        <v>18</v>
      </c>
      <c r="G9" s="101"/>
      <c r="H9" s="80">
        <f>IF(ISNUMBER(G9),G9*0.7,0)</f>
        <v>0</v>
      </c>
    </row>
    <row r="10" spans="2:10" ht="16.2" thickBot="1" x14ac:dyDescent="0.35">
      <c r="B10" s="272" t="s">
        <v>19</v>
      </c>
      <c r="C10" s="334" t="s">
        <v>20</v>
      </c>
      <c r="D10" s="345"/>
      <c r="E10" s="336"/>
      <c r="F10" s="191" t="s">
        <v>21</v>
      </c>
      <c r="G10" s="8"/>
      <c r="H10" s="119"/>
    </row>
    <row r="11" spans="2:10" ht="16.2" thickBot="1" x14ac:dyDescent="0.35">
      <c r="B11" s="273" t="s">
        <v>22</v>
      </c>
      <c r="C11" s="199" t="s">
        <v>23</v>
      </c>
      <c r="D11" s="201" t="str">
        <f>IF(C11=G44,"Montant","")</f>
        <v/>
      </c>
      <c r="E11" s="200"/>
      <c r="F11" s="1"/>
      <c r="G11" s="192"/>
      <c r="H11" s="193"/>
    </row>
    <row r="12" spans="2:10" ht="7.2" customHeight="1" thickBot="1" x14ac:dyDescent="0.35"/>
    <row r="13" spans="2:10" ht="16.2" thickBot="1" x14ac:dyDescent="0.35">
      <c r="B13" s="271" t="s">
        <v>24</v>
      </c>
      <c r="C13" s="340" t="s">
        <v>25</v>
      </c>
      <c r="D13" s="337"/>
      <c r="E13" s="341"/>
      <c r="F13" s="277" t="s">
        <v>8</v>
      </c>
      <c r="G13" s="278" t="s">
        <v>9</v>
      </c>
      <c r="H13" s="279" t="s">
        <v>10</v>
      </c>
    </row>
    <row r="14" spans="2:10" x14ac:dyDescent="0.3">
      <c r="B14" s="272" t="s">
        <v>12</v>
      </c>
      <c r="C14" s="342" t="s">
        <v>26</v>
      </c>
      <c r="D14" s="335"/>
      <c r="E14" s="336"/>
      <c r="F14" s="198" t="s">
        <v>14</v>
      </c>
      <c r="G14" s="178"/>
      <c r="H14" s="179">
        <f>G14*0.77</f>
        <v>0</v>
      </c>
    </row>
    <row r="15" spans="2:10" x14ac:dyDescent="0.3">
      <c r="B15" s="272" t="s">
        <v>16</v>
      </c>
      <c r="C15" s="334" t="s">
        <v>27</v>
      </c>
      <c r="D15" s="335"/>
      <c r="E15" s="336"/>
      <c r="F15" s="190" t="s">
        <v>18</v>
      </c>
      <c r="G15" s="101"/>
      <c r="H15" s="80">
        <f>IF(ISNUMBER(G15),G15*0.7,0)</f>
        <v>0</v>
      </c>
    </row>
    <row r="16" spans="2:10" ht="16.2" thickBot="1" x14ac:dyDescent="0.35">
      <c r="B16" s="272" t="s">
        <v>19</v>
      </c>
      <c r="C16" s="334"/>
      <c r="D16" s="345"/>
      <c r="E16" s="336"/>
      <c r="F16" s="191" t="s">
        <v>21</v>
      </c>
      <c r="G16" s="8"/>
      <c r="H16" s="119"/>
    </row>
    <row r="17" spans="2:9" ht="16.2" thickBot="1" x14ac:dyDescent="0.35">
      <c r="B17" s="273" t="s">
        <v>22</v>
      </c>
      <c r="C17" s="199" t="s">
        <v>23</v>
      </c>
      <c r="D17" s="201" t="str">
        <f>IF(C17=G44,"Montant","")</f>
        <v/>
      </c>
      <c r="E17" s="200"/>
      <c r="F17" s="1"/>
      <c r="G17" s="192"/>
      <c r="H17" s="193"/>
    </row>
    <row r="18" spans="2:9" ht="4.95" customHeight="1" thickBot="1" x14ac:dyDescent="0.35"/>
    <row r="19" spans="2:9" ht="16.2" thickBot="1" x14ac:dyDescent="0.35">
      <c r="B19" s="268" t="s">
        <v>28</v>
      </c>
      <c r="C19" s="337" t="s">
        <v>29</v>
      </c>
      <c r="D19" s="337"/>
      <c r="E19" s="338"/>
      <c r="F19" s="280" t="s">
        <v>30</v>
      </c>
      <c r="G19" s="275" t="s">
        <v>31</v>
      </c>
      <c r="H19" s="276" t="s">
        <v>32</v>
      </c>
    </row>
    <row r="20" spans="2:9" x14ac:dyDescent="0.3">
      <c r="B20" s="269" t="s">
        <v>33</v>
      </c>
      <c r="C20" s="335" t="s">
        <v>34</v>
      </c>
      <c r="D20" s="335"/>
      <c r="E20" s="339"/>
      <c r="F20" s="120" t="s">
        <v>11</v>
      </c>
      <c r="G20" s="100"/>
      <c r="H20" s="121"/>
    </row>
    <row r="21" spans="2:9" ht="16.2" customHeight="1" x14ac:dyDescent="0.3">
      <c r="B21" s="269" t="s">
        <v>35</v>
      </c>
      <c r="C21" s="335"/>
      <c r="D21" s="335"/>
      <c r="E21" s="339"/>
      <c r="F21" s="118" t="s">
        <v>36</v>
      </c>
      <c r="G21" s="10"/>
      <c r="H21" s="80"/>
    </row>
    <row r="22" spans="2:9" ht="16.2" customHeight="1" thickBot="1" x14ac:dyDescent="0.35">
      <c r="B22" s="270" t="s">
        <v>37</v>
      </c>
      <c r="C22" s="343"/>
      <c r="D22" s="343"/>
      <c r="E22" s="344"/>
      <c r="F22" s="7" t="s">
        <v>38</v>
      </c>
      <c r="G22" s="102"/>
      <c r="H22" s="122"/>
    </row>
    <row r="23" spans="2:9" ht="17.7" customHeight="1" thickBot="1" x14ac:dyDescent="0.35">
      <c r="B23" s="187"/>
      <c r="C23" s="187"/>
      <c r="D23" s="187"/>
      <c r="E23" s="187"/>
      <c r="F23" s="324" t="s">
        <v>39</v>
      </c>
      <c r="G23" s="325"/>
      <c r="H23" s="204">
        <f>SUM(H8:H10)+SUM(H14:H16)+SUM(H20:H22)</f>
        <v>87010</v>
      </c>
    </row>
    <row r="24" spans="2:9" ht="3" customHeight="1" thickBot="1" x14ac:dyDescent="0.35">
      <c r="F24" s="202"/>
      <c r="G24" s="202"/>
      <c r="H24" s="203"/>
    </row>
    <row r="25" spans="2:9" ht="15" customHeight="1" thickBot="1" x14ac:dyDescent="0.35">
      <c r="B25" s="321" t="s">
        <v>40</v>
      </c>
      <c r="C25" s="322"/>
      <c r="D25" s="322"/>
      <c r="E25" s="322"/>
      <c r="F25" s="322"/>
      <c r="G25" s="322"/>
      <c r="H25" s="323"/>
      <c r="I25" s="205"/>
    </row>
    <row r="26" spans="2:9" ht="35.4" customHeight="1" thickBot="1" x14ac:dyDescent="0.35">
      <c r="B26" s="267" t="s">
        <v>41</v>
      </c>
      <c r="C26" s="313" t="s">
        <v>42</v>
      </c>
      <c r="D26" s="314"/>
      <c r="E26" s="315"/>
      <c r="F26" s="267" t="s">
        <v>43</v>
      </c>
      <c r="G26" s="319" t="s">
        <v>44</v>
      </c>
      <c r="H26" s="320"/>
    </row>
    <row r="27" spans="2:9" ht="16.2" thickBot="1" x14ac:dyDescent="0.35">
      <c r="B27" s="321" t="s">
        <v>45</v>
      </c>
      <c r="C27" s="322"/>
      <c r="D27" s="322"/>
      <c r="E27" s="323"/>
      <c r="F27" s="321" t="s">
        <v>46</v>
      </c>
      <c r="G27" s="322"/>
      <c r="H27" s="323"/>
    </row>
    <row r="28" spans="2:9" ht="4.95" customHeight="1" thickBot="1" x14ac:dyDescent="0.35"/>
    <row r="29" spans="2:9" ht="16.2" thickBot="1" x14ac:dyDescent="0.35">
      <c r="B29" s="280" t="s">
        <v>47</v>
      </c>
      <c r="C29" s="282" t="s">
        <v>48</v>
      </c>
      <c r="D29" s="352" t="s">
        <v>49</v>
      </c>
      <c r="E29" s="353"/>
      <c r="F29" s="84" t="s">
        <v>50</v>
      </c>
      <c r="G29" s="103">
        <f>'Impôt 2021 revenus 2020'!C8</f>
        <v>78309</v>
      </c>
      <c r="H29" s="281" t="s">
        <v>51</v>
      </c>
    </row>
    <row r="30" spans="2:9" ht="16.2" thickBot="1" x14ac:dyDescent="0.35">
      <c r="B30" s="81" t="s">
        <v>52</v>
      </c>
      <c r="C30" s="194" t="s">
        <v>53</v>
      </c>
      <c r="D30" s="350"/>
      <c r="E30" s="351"/>
      <c r="F30" s="197" t="s">
        <v>54</v>
      </c>
      <c r="G30" s="80">
        <f>'Impôt 2021 revenus 2020'!D14</f>
        <v>7495.9</v>
      </c>
      <c r="H30" s="117">
        <f>IF(AND(OR(C19="Marié",C19="Pacsé"),'Calcul IR 2'!I39='Calcul IR 2'!I37),IF('Calcul IR 2'!J3&gt;='Calcul IR 2'!C37,'Calcul IR 2'!D38,IF('Calcul IR 2'!J3&gt;='Calcul IR 2'!C36,'Calcul IR 2'!D37,IF('Calcul IR 2'!J3&gt;='Calcul IR 2'!C34,'Calcul IR 2'!D36,IF('Calcul IR 2'!J3&gt;='Calcul IR 2'!C33,'Calcul IR 2'!D34,0%)))),IF(AND(OR(C19="Célibataire",C19="Divorcé",C19="Veuf",C19="Concubinage"),'Calcul IR 2'!I20='Calcul IR 2'!I17),IF('Calcul IR 2'!J3&gt;='Calcul IR 2'!C8,'Calcul IR 2'!D9,IF('Calcul IR 2'!J3&gt;='Calcul IR 2'!C7,'Calcul IR 2'!D8,IF('Calcul IR 2'!J3&gt;='Calcul IR 2'!C6,'Calcul IR 2'!D7,IF('Calcul IR 2'!J3&gt;='Calcul IR 2'!C5,'Calcul IR 2'!D6,0%)))),IF('Calcul IR 2'!J3&gt;='Calcul IR 2'!C28,'Calcul IR 2'!D29,IF('Calcul IR 2'!J3&gt;='Calcul IR 2'!C27,'Calcul IR 2'!D28,IF('Calcul IR 2'!J3&gt;='Calcul IR 2'!C26,'Calcul IR 2'!D27,IF('Calcul IR 2'!J3&gt;='Calcul IR 2'!C25,'Calcul IR 2'!D26,0%))))))</f>
        <v>0.3</v>
      </c>
    </row>
    <row r="31" spans="2:9" ht="16.2" thickBot="1" x14ac:dyDescent="0.35">
      <c r="B31" s="82" t="s">
        <v>55</v>
      </c>
      <c r="C31" s="195" t="s">
        <v>56</v>
      </c>
      <c r="D31" s="348"/>
      <c r="E31" s="349"/>
      <c r="F31" s="197" t="s">
        <v>57</v>
      </c>
      <c r="G31" s="80">
        <f>H20*0.172</f>
        <v>0</v>
      </c>
      <c r="H31" s="281" t="s">
        <v>58</v>
      </c>
    </row>
    <row r="32" spans="2:9" ht="16.2" thickBot="1" x14ac:dyDescent="0.35">
      <c r="B32" s="82"/>
      <c r="C32" s="195"/>
      <c r="D32" s="348"/>
      <c r="E32" s="349"/>
      <c r="F32" s="197" t="s">
        <v>59</v>
      </c>
      <c r="G32" s="104"/>
      <c r="H32" s="207">
        <f>IF(G30/G29&lt;0,0,G30/G29)</f>
        <v>9.572207536809306E-2</v>
      </c>
    </row>
    <row r="33" spans="2:11" ht="16.2" thickBot="1" x14ac:dyDescent="0.35">
      <c r="B33" s="83"/>
      <c r="C33" s="196"/>
      <c r="D33" s="346"/>
      <c r="E33" s="347"/>
      <c r="F33" s="197" t="s">
        <v>60</v>
      </c>
      <c r="G33" s="105"/>
      <c r="H33" s="106"/>
    </row>
    <row r="34" spans="2:11" ht="16.2" thickBot="1" x14ac:dyDescent="0.35">
      <c r="B34" s="115" t="s">
        <v>61</v>
      </c>
      <c r="C34" s="116">
        <v>2</v>
      </c>
      <c r="D34" s="107"/>
      <c r="F34" s="111" t="s">
        <v>62</v>
      </c>
      <c r="G34" s="112"/>
    </row>
    <row r="35" spans="2:11" ht="6" customHeight="1" thickBot="1" x14ac:dyDescent="0.35">
      <c r="B35" s="107"/>
      <c r="C35" s="108"/>
      <c r="D35" s="107"/>
      <c r="F35" s="113"/>
      <c r="G35" s="114"/>
    </row>
    <row r="36" spans="2:11" ht="12.45" customHeight="1" thickBot="1" x14ac:dyDescent="0.35">
      <c r="B36" s="326" t="s">
        <v>63</v>
      </c>
      <c r="C36" s="327"/>
      <c r="D36" s="327"/>
      <c r="E36" s="327"/>
      <c r="F36" s="327"/>
      <c r="G36" s="327"/>
      <c r="H36" s="327"/>
      <c r="I36" s="5"/>
      <c r="J36" s="5"/>
      <c r="K36" s="5"/>
    </row>
    <row r="39" spans="2:11" hidden="1" x14ac:dyDescent="0.3"/>
    <row r="40" spans="2:11" hidden="1" x14ac:dyDescent="0.3">
      <c r="B40">
        <v>0</v>
      </c>
      <c r="C40" t="s">
        <v>64</v>
      </c>
    </row>
    <row r="41" spans="2:11" ht="15.45" hidden="1" customHeight="1" x14ac:dyDescent="0.3">
      <c r="B41">
        <v>1</v>
      </c>
      <c r="C41" t="s">
        <v>65</v>
      </c>
      <c r="D41" t="s">
        <v>66</v>
      </c>
      <c r="G41" t="s">
        <v>67</v>
      </c>
    </row>
    <row r="42" spans="2:11" ht="15.45" hidden="1" customHeight="1" x14ac:dyDescent="0.3">
      <c r="B42">
        <v>2</v>
      </c>
      <c r="D42" t="s">
        <v>68</v>
      </c>
      <c r="G42" t="s">
        <v>69</v>
      </c>
    </row>
    <row r="43" spans="2:11" ht="15.45" hidden="1" customHeight="1" x14ac:dyDescent="0.3">
      <c r="B43">
        <v>3</v>
      </c>
      <c r="D43" t="s">
        <v>70</v>
      </c>
    </row>
    <row r="44" spans="2:11" ht="15.45" hidden="1" customHeight="1" x14ac:dyDescent="0.3">
      <c r="B44">
        <v>4</v>
      </c>
      <c r="D44" t="s">
        <v>71</v>
      </c>
      <c r="G44" t="s">
        <v>72</v>
      </c>
    </row>
    <row r="45" spans="2:11" ht="15.45" hidden="1" customHeight="1" x14ac:dyDescent="0.3">
      <c r="B45">
        <v>5</v>
      </c>
      <c r="D45" t="s">
        <v>73</v>
      </c>
      <c r="G45" s="188" t="str">
        <f>"10%"</f>
        <v>10%</v>
      </c>
    </row>
    <row r="46" spans="2:11" ht="15.45" hidden="1" customHeight="1" x14ac:dyDescent="0.3">
      <c r="B46">
        <v>6</v>
      </c>
      <c r="D46" t="s">
        <v>34</v>
      </c>
    </row>
    <row r="47" spans="2:11" ht="15.45" hidden="1" customHeight="1" x14ac:dyDescent="0.3">
      <c r="B47">
        <v>7</v>
      </c>
      <c r="D47" t="s">
        <v>74</v>
      </c>
    </row>
    <row r="48" spans="2:11" ht="15.45" hidden="1" customHeight="1" x14ac:dyDescent="0.3">
      <c r="B48">
        <v>8</v>
      </c>
    </row>
    <row r="49" spans="2:2" ht="15.45" hidden="1" customHeight="1" x14ac:dyDescent="0.3">
      <c r="B49">
        <v>9</v>
      </c>
    </row>
    <row r="50" spans="2:2" ht="15.45" hidden="1" customHeight="1" x14ac:dyDescent="0.3">
      <c r="B50">
        <v>10</v>
      </c>
    </row>
    <row r="51" spans="2:2" ht="15.45" customHeight="1" x14ac:dyDescent="0.3"/>
    <row r="52" spans="2:2" ht="15.45" customHeight="1" x14ac:dyDescent="0.3"/>
    <row r="53" spans="2:2" ht="15.45" customHeight="1" x14ac:dyDescent="0.3"/>
    <row r="54" spans="2:2" ht="15.45" customHeight="1" x14ac:dyDescent="0.3"/>
    <row r="55" spans="2:2" ht="15.45" customHeight="1" x14ac:dyDescent="0.3"/>
    <row r="56" spans="2:2" ht="15.45" customHeight="1" x14ac:dyDescent="0.3"/>
    <row r="57" spans="2:2" ht="15.45" customHeight="1" x14ac:dyDescent="0.3"/>
    <row r="58" spans="2:2" ht="15.45" customHeight="1" x14ac:dyDescent="0.3"/>
    <row r="59" spans="2:2" ht="15.45" customHeight="1" x14ac:dyDescent="0.3"/>
  </sheetData>
  <mergeCells count="26">
    <mergeCell ref="D33:E33"/>
    <mergeCell ref="D32:E32"/>
    <mergeCell ref="D31:E31"/>
    <mergeCell ref="D30:E30"/>
    <mergeCell ref="D29:E29"/>
    <mergeCell ref="B36:H36"/>
    <mergeCell ref="B2:H3"/>
    <mergeCell ref="C15:E15"/>
    <mergeCell ref="C19:E19"/>
    <mergeCell ref="C20:E20"/>
    <mergeCell ref="F27:H27"/>
    <mergeCell ref="C7:E7"/>
    <mergeCell ref="C8:E8"/>
    <mergeCell ref="C9:E9"/>
    <mergeCell ref="C13:E13"/>
    <mergeCell ref="C14:E14"/>
    <mergeCell ref="C22:E22"/>
    <mergeCell ref="C10:E10"/>
    <mergeCell ref="C21:E21"/>
    <mergeCell ref="C16:E16"/>
    <mergeCell ref="B27:E27"/>
    <mergeCell ref="C26:E26"/>
    <mergeCell ref="F5:H5"/>
    <mergeCell ref="G26:H26"/>
    <mergeCell ref="B25:H25"/>
    <mergeCell ref="F23:G23"/>
  </mergeCells>
  <dataValidations count="6">
    <dataValidation type="list" allowBlank="1" showInputMessage="1" showErrorMessage="1" sqref="C20:E20" xr:uid="{F47CBD30-AC04-4E07-BC58-9C727FCBA355}">
      <formula1>$D$41:$D$48</formula1>
    </dataValidation>
    <dataValidation type="list" allowBlank="1" showInputMessage="1" showErrorMessage="1" promptTitle="Communauté" sqref="C19:E19" xr:uid="{4D4787BC-6A97-47E6-B9D6-7346B30B07E8}">
      <formula1>"Célibataire,Concubinage,Divorcé,Veuf,Marié,Pacsé"</formula1>
    </dataValidation>
    <dataValidation type="list" allowBlank="1" showInputMessage="1" showErrorMessage="1" sqref="F20" xr:uid="{B5A9C45F-3029-4ACA-B2A9-2A7A8780628B}">
      <formula1>$J$7:$J$8</formula1>
    </dataValidation>
    <dataValidation type="list" allowBlank="1" showInputMessage="1" showErrorMessage="1" sqref="C22:E22" xr:uid="{F91AA10A-2D56-43B5-87E1-EE890EFFD3DC}">
      <formula1>$C$40:$C$42</formula1>
    </dataValidation>
    <dataValidation type="list" allowBlank="1" showInputMessage="1" showErrorMessage="1" sqref="C34" xr:uid="{B62B7896-C42E-47FE-A026-CE9114D87D9C}">
      <formula1>$B$38:$B$48</formula1>
    </dataValidation>
    <dataValidation type="list" allowBlank="1" showInputMessage="1" showErrorMessage="1" sqref="C11 C17" xr:uid="{75E18A5F-A79B-46C6-BEF8-B52F13AF8AA7}">
      <formula1>$G$44:$G$46</formula1>
    </dataValidation>
  </dataValidations>
  <hyperlinks>
    <hyperlink ref="C26" r:id="rId1" xr:uid="{EECC7534-D266-48B7-8256-10BC9BE720E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Export_Audit">
                <anchor moveWithCells="1" sizeWithCells="1">
                  <from>
                    <xdr:col>8</xdr:col>
                    <xdr:colOff>518160</xdr:colOff>
                    <xdr:row>5</xdr:row>
                    <xdr:rowOff>15240</xdr:rowOff>
                  </from>
                  <to>
                    <xdr:col>11</xdr:col>
                    <xdr:colOff>609600</xdr:colOff>
                    <xdr:row>8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5B25803-A536-433E-85B1-E64D7935589E}">
          <x14:formula1>
            <xm:f>'Calcul IR 2'!$O$3:$O$6</xm:f>
          </x14:formula1>
          <xm:sqref>C21:C22 D21:E21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4D51D-E018-DD48-A148-1E57C8787E7C}">
  <sheetPr codeName="Feuil4"/>
  <dimension ref="B1:K75"/>
  <sheetViews>
    <sheetView showGridLines="0" tabSelected="1" zoomScaleNormal="100" workbookViewId="0">
      <selection activeCell="D45" sqref="D45"/>
    </sheetView>
  </sheetViews>
  <sheetFormatPr baseColWidth="10" defaultColWidth="11" defaultRowHeight="15.6" x14ac:dyDescent="0.3"/>
  <cols>
    <col min="1" max="1" width="6.19921875" customWidth="1"/>
    <col min="2" max="2" width="24.19921875" style="2" customWidth="1"/>
    <col min="3" max="3" width="11.69921875" customWidth="1"/>
    <col min="4" max="4" width="12.19921875" customWidth="1"/>
    <col min="5" max="5" width="11" customWidth="1"/>
    <col min="6" max="6" width="12.69921875" customWidth="1"/>
    <col min="7" max="7" width="11.8984375" customWidth="1"/>
    <col min="8" max="8" width="10.19921875" customWidth="1"/>
    <col min="9" max="9" width="11.59765625" customWidth="1"/>
    <col min="10" max="10" width="18.296875" customWidth="1"/>
  </cols>
  <sheetData>
    <row r="1" spans="2:11" ht="3" customHeight="1" thickBot="1" x14ac:dyDescent="0.35"/>
    <row r="2" spans="2:11" ht="19.95" customHeight="1" x14ac:dyDescent="0.3">
      <c r="B2" s="364" t="s">
        <v>75</v>
      </c>
      <c r="C2" s="365"/>
      <c r="D2" s="365"/>
      <c r="E2" s="365"/>
      <c r="F2" s="365"/>
      <c r="G2" s="365"/>
      <c r="H2" s="365"/>
      <c r="I2" s="365"/>
      <c r="J2" s="366"/>
    </row>
    <row r="3" spans="2:11" ht="19.95" customHeight="1" thickBot="1" x14ac:dyDescent="0.35">
      <c r="B3" s="367"/>
      <c r="C3" s="368"/>
      <c r="D3" s="368"/>
      <c r="E3" s="368"/>
      <c r="F3" s="368"/>
      <c r="G3" s="368"/>
      <c r="H3" s="368"/>
      <c r="I3" s="368"/>
      <c r="J3" s="369"/>
    </row>
    <row r="4" spans="2:11" ht="4.2" customHeight="1" thickBot="1" x14ac:dyDescent="0.35">
      <c r="C4" s="215"/>
      <c r="D4" s="215"/>
      <c r="E4" s="215"/>
      <c r="F4" s="215"/>
      <c r="G4" s="215"/>
      <c r="H4" s="215"/>
      <c r="I4" s="215"/>
      <c r="J4" s="215"/>
    </row>
    <row r="5" spans="2:11" ht="16.2" thickBot="1" x14ac:dyDescent="0.35">
      <c r="B5" s="316" t="s">
        <v>76</v>
      </c>
      <c r="C5" s="317"/>
      <c r="D5" s="317"/>
      <c r="E5" s="317"/>
      <c r="F5" s="317"/>
      <c r="G5" s="317"/>
      <c r="H5" s="317"/>
      <c r="I5" s="317"/>
      <c r="J5" s="318"/>
    </row>
    <row r="6" spans="2:11" ht="3" customHeight="1" thickBot="1" x14ac:dyDescent="0.35">
      <c r="C6" s="215"/>
      <c r="D6" s="215"/>
      <c r="E6" s="215"/>
      <c r="F6" s="215"/>
      <c r="G6" s="215"/>
      <c r="H6" s="215"/>
      <c r="I6" s="215"/>
      <c r="J6" s="215"/>
    </row>
    <row r="7" spans="2:11" ht="16.95" customHeight="1" thickBot="1" x14ac:dyDescent="0.35">
      <c r="B7" s="374" t="s">
        <v>77</v>
      </c>
      <c r="C7" s="378" t="s">
        <v>78</v>
      </c>
      <c r="D7" s="372"/>
      <c r="E7" s="286" t="s">
        <v>79</v>
      </c>
      <c r="F7" s="286" t="s">
        <v>80</v>
      </c>
      <c r="G7" s="286" t="s">
        <v>81</v>
      </c>
      <c r="H7" s="286" t="s">
        <v>82</v>
      </c>
      <c r="I7" s="372" t="s">
        <v>83</v>
      </c>
      <c r="J7" s="373"/>
    </row>
    <row r="8" spans="2:11" ht="16.95" customHeight="1" thickBot="1" x14ac:dyDescent="0.35">
      <c r="B8" s="375"/>
      <c r="C8" s="376" t="s">
        <v>84</v>
      </c>
      <c r="D8" s="377"/>
      <c r="E8" s="301">
        <v>44501</v>
      </c>
      <c r="F8" s="219">
        <v>350000</v>
      </c>
      <c r="G8" s="219">
        <v>105000</v>
      </c>
      <c r="H8" s="252" t="s">
        <v>85</v>
      </c>
      <c r="I8" s="379">
        <v>1800</v>
      </c>
      <c r="J8" s="380"/>
      <c r="K8" t="s">
        <v>233</v>
      </c>
    </row>
    <row r="9" spans="2:11" ht="3" customHeight="1" thickBot="1" x14ac:dyDescent="0.35">
      <c r="B9" s="208"/>
      <c r="C9" s="218"/>
      <c r="D9" s="220"/>
      <c r="E9" s="221"/>
      <c r="F9" s="221"/>
      <c r="G9" s="222"/>
      <c r="H9" s="223"/>
      <c r="I9" s="223"/>
      <c r="J9" s="215"/>
    </row>
    <row r="10" spans="2:11" ht="16.95" customHeight="1" thickBot="1" x14ac:dyDescent="0.35">
      <c r="B10" s="316" t="s">
        <v>86</v>
      </c>
      <c r="C10" s="317"/>
      <c r="D10" s="317"/>
      <c r="E10" s="317"/>
      <c r="F10" s="317"/>
      <c r="G10" s="317"/>
      <c r="H10" s="317"/>
      <c r="I10" s="317"/>
      <c r="J10" s="318"/>
    </row>
    <row r="11" spans="2:11" ht="16.2" thickBot="1" x14ac:dyDescent="0.35">
      <c r="B11" s="385" t="s">
        <v>87</v>
      </c>
      <c r="C11" s="386"/>
      <c r="D11" s="286" t="s">
        <v>80</v>
      </c>
      <c r="E11" s="286" t="s">
        <v>79</v>
      </c>
      <c r="F11" s="286" t="s">
        <v>81</v>
      </c>
      <c r="G11" s="286" t="s">
        <v>88</v>
      </c>
      <c r="H11" s="286" t="s">
        <v>89</v>
      </c>
      <c r="I11" s="286" t="s">
        <v>90</v>
      </c>
      <c r="J11" s="290" t="s">
        <v>91</v>
      </c>
    </row>
    <row r="12" spans="2:11" ht="3" customHeight="1" thickBot="1" x14ac:dyDescent="0.35">
      <c r="C12" s="215"/>
      <c r="D12" s="215"/>
      <c r="E12" s="215"/>
      <c r="F12" s="215"/>
      <c r="G12" s="215"/>
      <c r="H12" s="215"/>
      <c r="I12" s="215"/>
      <c r="J12" s="215"/>
    </row>
    <row r="13" spans="2:11" x14ac:dyDescent="0.3">
      <c r="B13" s="383"/>
      <c r="C13" s="384"/>
      <c r="D13" s="224"/>
      <c r="E13" s="225"/>
      <c r="F13" s="224"/>
      <c r="G13" s="226"/>
      <c r="H13" s="227"/>
      <c r="I13" s="227"/>
      <c r="J13" s="228" t="str">
        <f>IF(ISBLANK(D13),"",I13*12/D13)</f>
        <v/>
      </c>
    </row>
    <row r="14" spans="2:11" x14ac:dyDescent="0.3">
      <c r="B14" s="381"/>
      <c r="C14" s="382"/>
      <c r="D14" s="229"/>
      <c r="E14" s="230"/>
      <c r="F14" s="229"/>
      <c r="G14" s="214"/>
      <c r="H14" s="231"/>
      <c r="I14" s="232"/>
      <c r="J14" s="233" t="str">
        <f>IF(ISBLANK(D14),"",I14*12/D14)</f>
        <v/>
      </c>
    </row>
    <row r="15" spans="2:11" x14ac:dyDescent="0.3">
      <c r="B15" s="381"/>
      <c r="C15" s="382"/>
      <c r="D15" s="229"/>
      <c r="E15" s="230"/>
      <c r="F15" s="229"/>
      <c r="G15" s="214"/>
      <c r="H15" s="231"/>
      <c r="I15" s="232"/>
      <c r="J15" s="233" t="str">
        <f>IF(ISBLANK(D15),"",I15*12/D15)</f>
        <v/>
      </c>
    </row>
    <row r="16" spans="2:11" ht="16.2" thickBot="1" x14ac:dyDescent="0.35">
      <c r="B16" s="391"/>
      <c r="C16" s="392"/>
      <c r="D16" s="234"/>
      <c r="E16" s="235"/>
      <c r="F16" s="234"/>
      <c r="G16" s="236"/>
      <c r="H16" s="237"/>
      <c r="I16" s="237"/>
      <c r="J16" s="238" t="str">
        <f>IF(ISBLANK(D16),"",I16*12/D16)</f>
        <v/>
      </c>
    </row>
    <row r="17" spans="2:11" ht="2.4" customHeight="1" thickBot="1" x14ac:dyDescent="0.35">
      <c r="C17" s="215"/>
      <c r="D17" s="215"/>
      <c r="E17" s="215"/>
      <c r="F17" s="215"/>
      <c r="G17" s="215"/>
      <c r="H17" s="215"/>
      <c r="I17" s="215"/>
      <c r="J17" s="215"/>
    </row>
    <row r="18" spans="2:11" ht="16.2" customHeight="1" thickBot="1" x14ac:dyDescent="0.35">
      <c r="B18" s="316" t="s">
        <v>92</v>
      </c>
      <c r="C18" s="317"/>
      <c r="D18" s="317"/>
      <c r="E18" s="317"/>
      <c r="F18" s="317"/>
      <c r="G18" s="317"/>
      <c r="H18" s="317"/>
      <c r="I18" s="317"/>
      <c r="J18" s="318"/>
    </row>
    <row r="19" spans="2:11" ht="2.7" customHeight="1" thickBot="1" x14ac:dyDescent="0.35">
      <c r="C19" s="215"/>
      <c r="D19" s="215"/>
      <c r="E19" s="215"/>
      <c r="F19" s="215"/>
      <c r="G19" s="215"/>
      <c r="H19" s="215"/>
      <c r="I19" s="215"/>
      <c r="J19" s="215"/>
    </row>
    <row r="20" spans="2:11" ht="16.2" customHeight="1" thickBot="1" x14ac:dyDescent="0.35">
      <c r="B20" s="378" t="s">
        <v>93</v>
      </c>
      <c r="C20" s="372"/>
      <c r="D20" s="286" t="s">
        <v>94</v>
      </c>
      <c r="E20" s="286" t="s">
        <v>88</v>
      </c>
      <c r="F20" s="286" t="s">
        <v>95</v>
      </c>
      <c r="G20" s="286" t="s">
        <v>89</v>
      </c>
      <c r="H20" s="372" t="s">
        <v>49</v>
      </c>
      <c r="I20" s="372"/>
      <c r="J20" s="373"/>
    </row>
    <row r="21" spans="2:11" ht="3" customHeight="1" thickBot="1" x14ac:dyDescent="0.35">
      <c r="C21" s="215"/>
      <c r="D21" s="215"/>
      <c r="E21" s="215"/>
      <c r="F21" s="215"/>
      <c r="G21" s="215"/>
      <c r="H21" s="215"/>
      <c r="I21" s="215"/>
      <c r="J21" s="215"/>
    </row>
    <row r="22" spans="2:11" ht="16.2" customHeight="1" x14ac:dyDescent="0.3">
      <c r="B22" s="397"/>
      <c r="C22" s="398"/>
      <c r="D22" s="224"/>
      <c r="E22" s="225"/>
      <c r="F22" s="226"/>
      <c r="G22" s="227"/>
      <c r="H22" s="370"/>
      <c r="I22" s="370"/>
      <c r="J22" s="371"/>
    </row>
    <row r="23" spans="2:11" ht="16.2" customHeight="1" x14ac:dyDescent="0.3">
      <c r="B23" s="399"/>
      <c r="C23" s="400"/>
      <c r="D23" s="239"/>
      <c r="E23" s="240"/>
      <c r="F23" s="241"/>
      <c r="G23" s="242"/>
      <c r="H23" s="389"/>
      <c r="I23" s="389"/>
      <c r="J23" s="390"/>
    </row>
    <row r="24" spans="2:11" ht="16.2" customHeight="1" thickBot="1" x14ac:dyDescent="0.35">
      <c r="B24" s="395"/>
      <c r="C24" s="396"/>
      <c r="D24" s="234"/>
      <c r="E24" s="235"/>
      <c r="F24" s="236"/>
      <c r="G24" s="237"/>
      <c r="H24" s="387"/>
      <c r="I24" s="387"/>
      <c r="J24" s="388"/>
    </row>
    <row r="25" spans="2:11" ht="4.95" customHeight="1" thickBot="1" x14ac:dyDescent="0.35">
      <c r="B25" s="215"/>
      <c r="C25" s="215"/>
      <c r="D25" s="215"/>
      <c r="E25" s="215"/>
      <c r="F25" s="215"/>
      <c r="G25" s="215"/>
      <c r="H25" s="215"/>
      <c r="I25" s="215"/>
      <c r="J25" s="215"/>
    </row>
    <row r="26" spans="2:11" ht="16.2" thickBot="1" x14ac:dyDescent="0.35">
      <c r="B26" s="316" t="s">
        <v>96</v>
      </c>
      <c r="C26" s="317"/>
      <c r="D26" s="317"/>
      <c r="E26" s="317"/>
      <c r="F26" s="317"/>
      <c r="G26" s="317"/>
      <c r="H26" s="317"/>
      <c r="I26" s="317"/>
      <c r="J26" s="318"/>
    </row>
    <row r="27" spans="2:11" ht="6" customHeight="1" thickBot="1" x14ac:dyDescent="0.35">
      <c r="C27" s="215"/>
      <c r="D27" s="215"/>
      <c r="E27" s="215"/>
      <c r="F27" s="215"/>
      <c r="G27" s="215"/>
      <c r="H27" s="215"/>
      <c r="I27" s="215"/>
      <c r="J27" s="215"/>
    </row>
    <row r="28" spans="2:11" ht="16.2" thickBot="1" x14ac:dyDescent="0.35">
      <c r="B28" s="385" t="s">
        <v>97</v>
      </c>
      <c r="C28" s="401"/>
      <c r="D28" s="291" t="s">
        <v>94</v>
      </c>
      <c r="E28" s="291" t="s">
        <v>98</v>
      </c>
      <c r="F28" s="286" t="s">
        <v>81</v>
      </c>
      <c r="G28" s="291" t="s">
        <v>82</v>
      </c>
      <c r="H28" s="286" t="s">
        <v>89</v>
      </c>
      <c r="I28" s="286" t="s">
        <v>90</v>
      </c>
      <c r="J28" s="290" t="s">
        <v>91</v>
      </c>
    </row>
    <row r="29" spans="2:11" ht="4.95" customHeight="1" thickBot="1" x14ac:dyDescent="0.35">
      <c r="C29" s="215"/>
      <c r="D29" s="215"/>
      <c r="E29" s="215"/>
      <c r="F29" s="215"/>
      <c r="G29" s="215"/>
      <c r="H29" s="215"/>
      <c r="I29" s="215"/>
      <c r="J29" s="215"/>
    </row>
    <row r="30" spans="2:11" ht="16.95" customHeight="1" x14ac:dyDescent="0.3">
      <c r="B30" s="404" t="s">
        <v>99</v>
      </c>
      <c r="C30" s="405"/>
      <c r="D30" s="243">
        <v>200000</v>
      </c>
      <c r="E30" s="243"/>
      <c r="F30" s="243"/>
      <c r="G30" s="243"/>
      <c r="H30" s="244">
        <v>850</v>
      </c>
      <c r="I30" s="245">
        <v>575</v>
      </c>
      <c r="J30" s="246">
        <f>IF(ISBLANK(B30),"",(I30*12)/D30)</f>
        <v>3.4500000000000003E-2</v>
      </c>
      <c r="K30" t="s">
        <v>234</v>
      </c>
    </row>
    <row r="31" spans="2:11" ht="16.95" customHeight="1" thickBot="1" x14ac:dyDescent="0.35">
      <c r="B31" s="402"/>
      <c r="C31" s="403"/>
      <c r="D31" s="237"/>
      <c r="E31" s="237"/>
      <c r="F31" s="237"/>
      <c r="G31" s="237"/>
      <c r="H31" s="234"/>
      <c r="I31" s="247"/>
      <c r="J31" s="248" t="str">
        <f>IF(ISBLANK(B31),"",(I31*12)/D31)</f>
        <v/>
      </c>
    </row>
    <row r="32" spans="2:11" ht="4.2" customHeight="1" thickBot="1" x14ac:dyDescent="0.35">
      <c r="C32" s="215"/>
      <c r="D32" s="215"/>
      <c r="E32" s="215"/>
      <c r="F32" s="215"/>
      <c r="G32" s="215"/>
      <c r="H32" s="215"/>
      <c r="I32" s="215"/>
      <c r="J32" s="215"/>
    </row>
    <row r="33" spans="2:10" ht="20.7" customHeight="1" thickBot="1" x14ac:dyDescent="0.35">
      <c r="B33" s="316" t="s">
        <v>100</v>
      </c>
      <c r="C33" s="317"/>
      <c r="D33" s="406">
        <f>MAX(0,IF('Etat Civil'!H23=0,0,(SUM(I8,H13:H16,G22:G24))/((SUM(I13:I16)*0.8)+(('Etat Civil'!H23+'Etat Civil'!G22-'Etat Civil'!H22-'Etat Civil'!H20-'Etat Civil'!H21)/12))))</f>
        <v>0.24824732789334561</v>
      </c>
      <c r="E33" s="407"/>
      <c r="F33" s="316" t="str">
        <f>IF(AND(ISBLANK(B30),ISBLANK(B31)),"","TAUX D'ENDETTEMENT SI PROJET")</f>
        <v>TAUX D'ENDETTEMENT SI PROJET</v>
      </c>
      <c r="G33" s="317"/>
      <c r="H33" s="317"/>
      <c r="I33" s="406">
        <f>IF(AND(ISBLANK(B30),ISBLANK(B31)),"",MAX(0,IF('Etat Civil'!H23=0,0,IF(OR(B30="Changement RP",B31="Changement RP"),(SUM(H13:H16,G22:G24,H30:H31))/((SUM(I13:I16,I30:I31)*0.8)+(('Etat Civil'!H23+'Etat Civil'!G22-'Etat Civil'!H22-'Etat Civil'!H20-'Etat Civil'!H21)/12)),(SUM(H13:H16,G22:G24,H30:H31,I8))/((SUM(I13:I16,I30:I31)*0.8)+(('Etat Civil'!H23+'Etat Civil'!G22-'Etat Civil'!H22-'Etat Civil'!H20-'Etat Civil'!H21)/12))))))</f>
        <v>0.34367232249000323</v>
      </c>
      <c r="J33" s="407"/>
    </row>
    <row r="34" spans="2:10" ht="4.2" customHeight="1" thickBot="1" x14ac:dyDescent="0.35"/>
    <row r="35" spans="2:10" ht="21" customHeight="1" thickBot="1" x14ac:dyDescent="0.35">
      <c r="B35" s="410" t="s">
        <v>101</v>
      </c>
      <c r="C35" s="411"/>
      <c r="D35" s="283" t="s">
        <v>9</v>
      </c>
      <c r="E35" s="292">
        <f>SUM(D13:D16,F8)</f>
        <v>350000</v>
      </c>
      <c r="F35" s="283" t="s">
        <v>10</v>
      </c>
      <c r="G35" s="293">
        <f>E35-SUM(G8,F13:F16)</f>
        <v>245000</v>
      </c>
      <c r="H35" s="316" t="s">
        <v>102</v>
      </c>
      <c r="I35" s="317"/>
      <c r="J35" s="294">
        <f>E35/D63</f>
        <v>0.8009153318077803</v>
      </c>
    </row>
    <row r="36" spans="2:10" ht="4.2" customHeight="1" thickBot="1" x14ac:dyDescent="0.35">
      <c r="C36" s="215"/>
      <c r="D36" s="215"/>
      <c r="E36" s="215"/>
      <c r="F36" s="215"/>
      <c r="G36" s="215"/>
      <c r="H36" s="215"/>
      <c r="I36" s="215"/>
      <c r="J36" s="215"/>
    </row>
    <row r="37" spans="2:10" ht="19.95" customHeight="1" x14ac:dyDescent="0.3">
      <c r="B37" s="364" t="s">
        <v>103</v>
      </c>
      <c r="C37" s="365"/>
      <c r="D37" s="365"/>
      <c r="E37" s="365"/>
      <c r="F37" s="365"/>
      <c r="G37" s="365"/>
      <c r="H37" s="365"/>
      <c r="I37" s="365"/>
      <c r="J37" s="366"/>
    </row>
    <row r="38" spans="2:10" ht="19.95" customHeight="1" thickBot="1" x14ac:dyDescent="0.35">
      <c r="B38" s="367"/>
      <c r="C38" s="368"/>
      <c r="D38" s="368"/>
      <c r="E38" s="368"/>
      <c r="F38" s="368"/>
      <c r="G38" s="368"/>
      <c r="H38" s="368"/>
      <c r="I38" s="368"/>
      <c r="J38" s="369"/>
    </row>
    <row r="39" spans="2:10" ht="3" customHeight="1" thickBot="1" x14ac:dyDescent="0.35">
      <c r="B39" s="215"/>
      <c r="C39" s="249"/>
      <c r="D39" s="215"/>
      <c r="E39" s="215"/>
      <c r="F39" s="249"/>
      <c r="G39" s="249"/>
      <c r="H39" s="4"/>
      <c r="I39" s="215"/>
      <c r="J39" s="215"/>
    </row>
    <row r="40" spans="2:10" ht="16.2" thickBot="1" x14ac:dyDescent="0.35">
      <c r="B40" s="284" t="s">
        <v>104</v>
      </c>
      <c r="C40" s="285" t="s">
        <v>105</v>
      </c>
      <c r="D40" s="286" t="s">
        <v>91</v>
      </c>
      <c r="E40" s="286" t="s">
        <v>106</v>
      </c>
      <c r="F40" s="287" t="s">
        <v>107</v>
      </c>
      <c r="G40" s="288" t="s">
        <v>108</v>
      </c>
      <c r="H40" s="289" t="s">
        <v>109</v>
      </c>
      <c r="I40" s="385" t="s">
        <v>110</v>
      </c>
      <c r="J40" s="412"/>
    </row>
    <row r="41" spans="2:10" ht="16.2" thickBot="1" x14ac:dyDescent="0.35">
      <c r="B41" s="316" t="s">
        <v>111</v>
      </c>
      <c r="C41" s="317"/>
      <c r="D41" s="317"/>
      <c r="E41" s="317"/>
      <c r="F41" s="317"/>
      <c r="G41" s="317"/>
      <c r="H41" s="317"/>
      <c r="I41" s="317"/>
      <c r="J41" s="317"/>
    </row>
    <row r="42" spans="2:10" x14ac:dyDescent="0.3">
      <c r="B42" s="154" t="s">
        <v>112</v>
      </c>
      <c r="C42" s="161">
        <v>20000</v>
      </c>
      <c r="D42" s="209"/>
      <c r="E42" s="155"/>
      <c r="F42" s="161"/>
      <c r="G42" s="254"/>
      <c r="H42" s="254"/>
      <c r="I42" s="358" t="s">
        <v>236</v>
      </c>
      <c r="J42" s="359"/>
    </row>
    <row r="43" spans="2:10" x14ac:dyDescent="0.3">
      <c r="B43" s="258" t="s">
        <v>113</v>
      </c>
      <c r="C43" s="216">
        <v>15000</v>
      </c>
      <c r="D43" s="261">
        <v>0.03</v>
      </c>
      <c r="E43" s="253"/>
      <c r="F43" s="216">
        <v>12000</v>
      </c>
      <c r="G43" s="255"/>
      <c r="H43" s="255"/>
      <c r="I43" s="362"/>
      <c r="J43" s="363"/>
    </row>
    <row r="44" spans="2:10" x14ac:dyDescent="0.3">
      <c r="B44" s="258" t="s">
        <v>113</v>
      </c>
      <c r="C44" s="216">
        <v>10000</v>
      </c>
      <c r="D44" s="261">
        <v>0.03</v>
      </c>
      <c r="E44" s="253"/>
      <c r="F44" s="216">
        <v>12000</v>
      </c>
      <c r="G44" s="255"/>
      <c r="H44" s="255"/>
      <c r="I44" s="354"/>
      <c r="J44" s="355"/>
    </row>
    <row r="45" spans="2:10" x14ac:dyDescent="0.3">
      <c r="B45" s="157" t="s">
        <v>114</v>
      </c>
      <c r="C45" s="163">
        <v>7000</v>
      </c>
      <c r="D45" s="210"/>
      <c r="E45" s="158"/>
      <c r="F45" s="163"/>
      <c r="G45" s="255"/>
      <c r="H45" s="255"/>
      <c r="I45" s="362"/>
      <c r="J45" s="363"/>
    </row>
    <row r="46" spans="2:10" hidden="1" x14ac:dyDescent="0.3">
      <c r="B46" s="258"/>
      <c r="C46" s="216"/>
      <c r="D46" s="261"/>
      <c r="E46" s="253"/>
      <c r="F46" s="216"/>
      <c r="G46" s="257"/>
      <c r="H46" s="257"/>
      <c r="I46" s="354"/>
      <c r="J46" s="355"/>
    </row>
    <row r="47" spans="2:10" hidden="1" x14ac:dyDescent="0.3">
      <c r="B47" s="258"/>
      <c r="C47" s="216"/>
      <c r="D47" s="261"/>
      <c r="E47" s="253"/>
      <c r="F47" s="216"/>
      <c r="G47" s="257"/>
      <c r="H47" s="257"/>
      <c r="I47" s="354"/>
      <c r="J47" s="355"/>
    </row>
    <row r="48" spans="2:10" ht="16.2" thickBot="1" x14ac:dyDescent="0.35">
      <c r="B48" s="152" t="s">
        <v>235</v>
      </c>
      <c r="C48" s="165">
        <v>24000</v>
      </c>
      <c r="D48" s="211"/>
      <c r="E48" s="153"/>
      <c r="F48" s="165"/>
      <c r="G48" s="256"/>
      <c r="H48" s="256"/>
      <c r="I48" s="360"/>
      <c r="J48" s="361"/>
    </row>
    <row r="49" spans="2:10" ht="16.2" thickBot="1" x14ac:dyDescent="0.35">
      <c r="B49" s="316" t="s">
        <v>115</v>
      </c>
      <c r="C49" s="317"/>
      <c r="D49" s="317"/>
      <c r="E49" s="317"/>
      <c r="F49" s="317"/>
      <c r="G49" s="317"/>
      <c r="H49" s="317"/>
      <c r="I49" s="317"/>
      <c r="J49" s="317"/>
    </row>
    <row r="50" spans="2:10" x14ac:dyDescent="0.3">
      <c r="B50" s="154" t="s">
        <v>116</v>
      </c>
      <c r="C50" s="161">
        <v>11000</v>
      </c>
      <c r="D50" s="259"/>
      <c r="E50" s="155"/>
      <c r="F50" s="161"/>
      <c r="G50" s="254"/>
      <c r="H50" s="254"/>
      <c r="I50" s="358"/>
      <c r="J50" s="359"/>
    </row>
    <row r="51" spans="2:10" hidden="1" x14ac:dyDescent="0.3">
      <c r="B51" s="157"/>
      <c r="C51" s="163"/>
      <c r="D51" s="212"/>
      <c r="E51" s="158"/>
      <c r="F51" s="163"/>
      <c r="G51" s="255"/>
      <c r="H51" s="255"/>
      <c r="I51" s="362"/>
      <c r="J51" s="363"/>
    </row>
    <row r="52" spans="2:10" hidden="1" x14ac:dyDescent="0.3">
      <c r="B52" s="157"/>
      <c r="C52" s="163"/>
      <c r="D52" s="212"/>
      <c r="E52" s="158"/>
      <c r="F52" s="163"/>
      <c r="G52" s="255"/>
      <c r="H52" s="255"/>
      <c r="I52" s="362"/>
      <c r="J52" s="363"/>
    </row>
    <row r="53" spans="2:10" hidden="1" x14ac:dyDescent="0.3">
      <c r="B53" s="157"/>
      <c r="C53" s="163"/>
      <c r="D53" s="212"/>
      <c r="E53" s="158"/>
      <c r="F53" s="163"/>
      <c r="G53" s="255"/>
      <c r="H53" s="255"/>
      <c r="I53" s="362"/>
      <c r="J53" s="363"/>
    </row>
    <row r="54" spans="2:10" hidden="1" x14ac:dyDescent="0.3">
      <c r="B54" s="258"/>
      <c r="C54" s="216"/>
      <c r="D54" s="260"/>
      <c r="E54" s="253"/>
      <c r="F54" s="216"/>
      <c r="G54" s="257"/>
      <c r="H54" s="257"/>
      <c r="I54" s="354"/>
      <c r="J54" s="355"/>
    </row>
    <row r="55" spans="2:10" ht="16.2" thickBot="1" x14ac:dyDescent="0.35">
      <c r="B55" s="152"/>
      <c r="C55" s="165"/>
      <c r="D55" s="211"/>
      <c r="E55" s="153"/>
      <c r="F55" s="165"/>
      <c r="G55" s="256"/>
      <c r="H55" s="256"/>
      <c r="I55" s="360"/>
      <c r="J55" s="361"/>
    </row>
    <row r="56" spans="2:10" ht="16.2" thickBot="1" x14ac:dyDescent="0.35">
      <c r="B56" s="316" t="s">
        <v>117</v>
      </c>
      <c r="C56" s="317"/>
      <c r="D56" s="317"/>
      <c r="E56" s="317"/>
      <c r="F56" s="317"/>
      <c r="G56" s="317"/>
      <c r="H56" s="317"/>
      <c r="I56" s="317"/>
      <c r="J56" s="317"/>
    </row>
    <row r="57" spans="2:10" x14ac:dyDescent="0.3">
      <c r="B57" s="154"/>
      <c r="C57" s="161"/>
      <c r="D57" s="213"/>
      <c r="E57" s="155"/>
      <c r="F57" s="161"/>
      <c r="G57" s="254"/>
      <c r="H57" s="254"/>
      <c r="I57" s="358"/>
      <c r="J57" s="359"/>
    </row>
    <row r="58" spans="2:10" hidden="1" x14ac:dyDescent="0.3">
      <c r="B58" s="157"/>
      <c r="C58" s="163"/>
      <c r="D58" s="214"/>
      <c r="E58" s="158"/>
      <c r="F58" s="163"/>
      <c r="G58" s="255"/>
      <c r="H58" s="255"/>
      <c r="I58" s="362"/>
      <c r="J58" s="363"/>
    </row>
    <row r="59" spans="2:10" ht="16.2" thickBot="1" x14ac:dyDescent="0.35">
      <c r="B59" s="152"/>
      <c r="C59" s="165"/>
      <c r="D59" s="236"/>
      <c r="E59" s="153"/>
      <c r="F59" s="165"/>
      <c r="G59" s="256"/>
      <c r="H59" s="256"/>
      <c r="I59" s="360"/>
      <c r="J59" s="361"/>
    </row>
    <row r="60" spans="2:10" ht="5.4" customHeight="1" thickBot="1" x14ac:dyDescent="0.35">
      <c r="B60" s="263"/>
      <c r="C60" s="264"/>
      <c r="D60" s="265"/>
      <c r="E60" s="263"/>
      <c r="F60" s="264"/>
      <c r="G60" s="266"/>
      <c r="H60" s="266"/>
      <c r="I60" s="266"/>
      <c r="J60" s="266"/>
    </row>
    <row r="61" spans="2:10" s="2" customFormat="1" ht="21" customHeight="1" thickBot="1" x14ac:dyDescent="0.35">
      <c r="B61" s="316" t="s">
        <v>118</v>
      </c>
      <c r="C61" s="317"/>
      <c r="D61" s="293">
        <f>SUM(C42:C48,C50:C55,C57:C59)</f>
        <v>87000</v>
      </c>
      <c r="E61" s="295" t="s">
        <v>119</v>
      </c>
      <c r="F61" s="294">
        <f>D61/D63</f>
        <v>0.19908466819221968</v>
      </c>
      <c r="G61" s="296" t="s">
        <v>120</v>
      </c>
      <c r="H61" s="297">
        <f>SUM(C50:C55,C57:C59)/D63</f>
        <v>2.5171624713958809E-2</v>
      </c>
      <c r="I61" s="298" t="s">
        <v>111</v>
      </c>
      <c r="J61" s="294">
        <f>SUM(C42:C48)/D63</f>
        <v>0.17391304347826086</v>
      </c>
    </row>
    <row r="62" spans="2:10" ht="4.2" customHeight="1" thickBot="1" x14ac:dyDescent="0.35">
      <c r="B62" s="262"/>
      <c r="F62" s="262"/>
      <c r="G62" s="262"/>
    </row>
    <row r="63" spans="2:10" ht="24.6" customHeight="1" thickBot="1" x14ac:dyDescent="0.35">
      <c r="B63" s="316" t="s">
        <v>121</v>
      </c>
      <c r="C63" s="317"/>
      <c r="D63" s="356">
        <f>E35+D61</f>
        <v>437000</v>
      </c>
      <c r="E63" s="357"/>
      <c r="F63" s="316" t="s">
        <v>122</v>
      </c>
      <c r="G63" s="317"/>
      <c r="H63" s="317"/>
      <c r="I63" s="356">
        <f>SUM(F42:F48,F50:F55,F57:F59)</f>
        <v>24000</v>
      </c>
      <c r="J63" s="357"/>
    </row>
    <row r="64" spans="2:10" ht="3" customHeight="1" thickBot="1" x14ac:dyDescent="0.35">
      <c r="B64" s="217"/>
      <c r="C64" s="217"/>
      <c r="D64" s="250"/>
      <c r="E64" s="215"/>
      <c r="F64" s="251"/>
      <c r="G64" s="251"/>
      <c r="H64" s="206"/>
      <c r="I64" s="215"/>
      <c r="J64" s="215"/>
    </row>
    <row r="65" spans="2:10" ht="16.2" thickBot="1" x14ac:dyDescent="0.35">
      <c r="B65" s="413" t="s">
        <v>63</v>
      </c>
      <c r="C65" s="414"/>
      <c r="D65" s="414"/>
      <c r="E65" s="414"/>
      <c r="F65" s="414"/>
      <c r="G65" s="414"/>
      <c r="H65" s="414"/>
      <c r="I65" s="414"/>
      <c r="J65" s="415"/>
    </row>
    <row r="66" spans="2:10" x14ac:dyDescent="0.3">
      <c r="B66" s="409"/>
      <c r="C66" s="409"/>
      <c r="D66" s="409"/>
      <c r="E66" s="409"/>
      <c r="F66" s="409"/>
      <c r="G66" s="409"/>
      <c r="H66" s="409"/>
      <c r="I66" s="3"/>
      <c r="J66" s="3"/>
    </row>
    <row r="67" spans="2:10" x14ac:dyDescent="0.3">
      <c r="B67" s="3"/>
      <c r="C67" s="129"/>
      <c r="D67" s="3"/>
      <c r="E67" s="3"/>
      <c r="F67" s="129"/>
      <c r="G67" s="129"/>
      <c r="H67" s="130"/>
      <c r="I67" s="3"/>
      <c r="J67" s="3"/>
    </row>
    <row r="68" spans="2:10" x14ac:dyDescent="0.3">
      <c r="B68" s="107"/>
      <c r="C68" s="125"/>
      <c r="D68" s="107"/>
      <c r="E68" s="107"/>
      <c r="F68" s="125"/>
      <c r="G68" s="131"/>
      <c r="H68" s="132"/>
      <c r="I68" s="3"/>
      <c r="J68" s="3"/>
    </row>
    <row r="69" spans="2:10" x14ac:dyDescent="0.3">
      <c r="B69" s="107"/>
      <c r="C69" s="125"/>
      <c r="D69" s="107"/>
      <c r="E69" s="107"/>
      <c r="F69" s="125"/>
      <c r="G69" s="131"/>
      <c r="H69" s="132"/>
      <c r="I69" s="3"/>
      <c r="J69" s="3"/>
    </row>
    <row r="70" spans="2:10" x14ac:dyDescent="0.3">
      <c r="B70" s="107"/>
      <c r="C70" s="125"/>
      <c r="D70" s="107"/>
      <c r="E70" s="107"/>
      <c r="F70" s="125"/>
      <c r="G70" s="131"/>
      <c r="H70" s="132"/>
      <c r="I70" s="133"/>
      <c r="J70" s="3"/>
    </row>
    <row r="71" spans="2:10" x14ac:dyDescent="0.3">
      <c r="B71" s="393"/>
      <c r="C71" s="393"/>
      <c r="D71" s="394"/>
      <c r="E71" s="394"/>
      <c r="F71" s="129"/>
      <c r="G71" s="129"/>
      <c r="H71" s="130"/>
      <c r="I71" s="3"/>
      <c r="J71" s="3"/>
    </row>
    <row r="72" spans="2:10" ht="3.45" customHeight="1" x14ac:dyDescent="0.3">
      <c r="B72" s="3"/>
      <c r="C72" s="129"/>
      <c r="D72" s="3"/>
      <c r="E72" s="3"/>
      <c r="F72" s="129"/>
      <c r="G72" s="129"/>
      <c r="H72" s="130"/>
      <c r="I72" s="3"/>
      <c r="J72" s="3"/>
    </row>
    <row r="73" spans="2:10" x14ac:dyDescent="0.3">
      <c r="B73" s="408"/>
      <c r="C73" s="408"/>
      <c r="D73" s="408"/>
      <c r="E73" s="408"/>
      <c r="F73" s="408"/>
      <c r="G73" s="408"/>
      <c r="H73" s="408"/>
      <c r="I73" s="408"/>
      <c r="J73" s="3"/>
    </row>
    <row r="74" spans="2:10" x14ac:dyDescent="0.3">
      <c r="B74" s="124"/>
      <c r="C74" s="3"/>
      <c r="D74" s="3"/>
      <c r="E74" s="3"/>
      <c r="F74" s="3"/>
      <c r="G74" s="3"/>
      <c r="H74" s="3"/>
      <c r="I74" s="3"/>
      <c r="J74" s="3"/>
    </row>
    <row r="75" spans="2:10" x14ac:dyDescent="0.3">
      <c r="B75" s="124"/>
      <c r="C75" s="3"/>
      <c r="D75" s="3"/>
      <c r="E75" s="3"/>
      <c r="F75" s="3"/>
      <c r="G75" s="3"/>
      <c r="H75" s="3"/>
      <c r="I75" s="3"/>
      <c r="J75" s="3"/>
    </row>
  </sheetData>
  <mergeCells count="63">
    <mergeCell ref="B73:I73"/>
    <mergeCell ref="B66:H66"/>
    <mergeCell ref="B63:C63"/>
    <mergeCell ref="H35:I35"/>
    <mergeCell ref="B35:C35"/>
    <mergeCell ref="B61:C61"/>
    <mergeCell ref="B37:J38"/>
    <mergeCell ref="I59:J59"/>
    <mergeCell ref="I58:J58"/>
    <mergeCell ref="I57:J57"/>
    <mergeCell ref="I53:J53"/>
    <mergeCell ref="I52:J52"/>
    <mergeCell ref="I51:J51"/>
    <mergeCell ref="I42:J42"/>
    <mergeCell ref="I40:J40"/>
    <mergeCell ref="B65:J65"/>
    <mergeCell ref="H23:J23"/>
    <mergeCell ref="B16:C16"/>
    <mergeCell ref="B15:C15"/>
    <mergeCell ref="B71:C71"/>
    <mergeCell ref="D71:E71"/>
    <mergeCell ref="F33:H33"/>
    <mergeCell ref="B20:C20"/>
    <mergeCell ref="B24:C24"/>
    <mergeCell ref="B22:C22"/>
    <mergeCell ref="B23:C23"/>
    <mergeCell ref="B28:C28"/>
    <mergeCell ref="B31:C31"/>
    <mergeCell ref="B30:C30"/>
    <mergeCell ref="I33:J33"/>
    <mergeCell ref="I55:J55"/>
    <mergeCell ref="D33:E33"/>
    <mergeCell ref="B2:J3"/>
    <mergeCell ref="B5:J5"/>
    <mergeCell ref="B10:J10"/>
    <mergeCell ref="B18:J18"/>
    <mergeCell ref="B26:J26"/>
    <mergeCell ref="H22:J22"/>
    <mergeCell ref="H20:J20"/>
    <mergeCell ref="B7:B8"/>
    <mergeCell ref="C8:D8"/>
    <mergeCell ref="C7:D7"/>
    <mergeCell ref="I8:J8"/>
    <mergeCell ref="I7:J7"/>
    <mergeCell ref="B14:C14"/>
    <mergeCell ref="B13:C13"/>
    <mergeCell ref="B11:C11"/>
    <mergeCell ref="H24:J24"/>
    <mergeCell ref="B33:C33"/>
    <mergeCell ref="I44:J44"/>
    <mergeCell ref="I63:J63"/>
    <mergeCell ref="F63:H63"/>
    <mergeCell ref="B41:J41"/>
    <mergeCell ref="I54:J54"/>
    <mergeCell ref="I46:J46"/>
    <mergeCell ref="I47:J47"/>
    <mergeCell ref="I50:J50"/>
    <mergeCell ref="B49:J49"/>
    <mergeCell ref="I48:J48"/>
    <mergeCell ref="I45:J45"/>
    <mergeCell ref="I43:J43"/>
    <mergeCell ref="B56:J56"/>
    <mergeCell ref="D63:E63"/>
  </mergeCells>
  <dataValidations count="2">
    <dataValidation type="list" allowBlank="1" showInputMessage="1" showErrorMessage="1" sqref="B30:B31" xr:uid="{3D161660-D140-4743-A4D6-54F82D4A80E5}">
      <formula1>"Changement RP,Travaux,Investissement,Autre"</formula1>
    </dataValidation>
    <dataValidation type="list" allowBlank="1" showInputMessage="1" showErrorMessage="1" sqref="H68:H70 H64" xr:uid="{DAEA72D6-35C5-4136-8E3A-55D3ACD20A83}">
      <formula1>$B$36:$B$36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D2A86-8351-4C61-9DAE-57D406BA8582}">
  <sheetPr codeName="Feuil5"/>
  <dimension ref="B1:L30"/>
  <sheetViews>
    <sheetView showGridLines="0" zoomScaleNormal="100" workbookViewId="0">
      <selection activeCell="H27" sqref="H27"/>
    </sheetView>
  </sheetViews>
  <sheetFormatPr baseColWidth="10" defaultColWidth="11" defaultRowHeight="15.6" x14ac:dyDescent="0.3"/>
  <cols>
    <col min="1" max="1" width="6.19921875" customWidth="1"/>
    <col min="2" max="2" width="14.5" style="2" customWidth="1"/>
    <col min="3" max="3" width="13.5" bestFit="1" customWidth="1"/>
    <col min="4" max="4" width="14" bestFit="1" customWidth="1"/>
    <col min="5" max="5" width="14.69921875" bestFit="1" customWidth="1"/>
    <col min="6" max="7" width="12.69921875" customWidth="1"/>
    <col min="10" max="10" width="12.19921875" customWidth="1"/>
    <col min="11" max="11" width="13.19921875" customWidth="1"/>
    <col min="12" max="12" width="14.69921875" customWidth="1"/>
  </cols>
  <sheetData>
    <row r="1" spans="2:12" ht="3" customHeight="1" thickBot="1" x14ac:dyDescent="0.35"/>
    <row r="2" spans="2:12" ht="19.95" customHeight="1" x14ac:dyDescent="0.3">
      <c r="B2" s="416" t="s">
        <v>123</v>
      </c>
      <c r="C2" s="417"/>
      <c r="D2" s="417"/>
      <c r="E2" s="417"/>
      <c r="F2" s="418"/>
      <c r="G2" s="144"/>
      <c r="H2" s="144"/>
      <c r="I2" s="144"/>
      <c r="J2" s="144"/>
      <c r="K2" s="144"/>
    </row>
    <row r="3" spans="2:12" ht="19.95" customHeight="1" thickBot="1" x14ac:dyDescent="0.35">
      <c r="B3" s="419"/>
      <c r="C3" s="420"/>
      <c r="D3" s="420"/>
      <c r="E3" s="420"/>
      <c r="F3" s="421"/>
      <c r="G3" s="144"/>
      <c r="H3" s="144"/>
      <c r="I3" s="144"/>
      <c r="J3" s="144"/>
      <c r="K3" s="144"/>
    </row>
    <row r="4" spans="2:12" ht="4.2" customHeight="1" thickBot="1" x14ac:dyDescent="0.35"/>
    <row r="5" spans="2:12" ht="12" customHeight="1" x14ac:dyDescent="0.3">
      <c r="B5" s="423" t="s">
        <v>124</v>
      </c>
      <c r="C5" s="424"/>
      <c r="D5" s="424"/>
      <c r="E5" s="424"/>
      <c r="F5" s="425"/>
      <c r="I5" s="156"/>
      <c r="J5" s="156"/>
    </row>
    <row r="6" spans="2:12" ht="12" customHeight="1" thickBot="1" x14ac:dyDescent="0.35">
      <c r="B6" s="426"/>
      <c r="C6" s="427"/>
      <c r="D6" s="427"/>
      <c r="E6" s="427"/>
      <c r="F6" s="428"/>
      <c r="I6" s="127"/>
      <c r="J6" s="127"/>
    </row>
    <row r="7" spans="2:12" ht="15" customHeight="1" thickBot="1" x14ac:dyDescent="0.35">
      <c r="B7" s="431" t="s">
        <v>78</v>
      </c>
      <c r="C7" s="432"/>
      <c r="D7" s="181" t="s">
        <v>105</v>
      </c>
      <c r="E7" s="181" t="s">
        <v>125</v>
      </c>
      <c r="F7" s="182" t="s">
        <v>126</v>
      </c>
    </row>
    <row r="8" spans="2:12" ht="15" customHeight="1" thickBot="1" x14ac:dyDescent="0.35">
      <c r="B8" s="429" t="s">
        <v>127</v>
      </c>
      <c r="C8" s="430"/>
      <c r="D8" s="147">
        <v>250000</v>
      </c>
      <c r="E8" s="147">
        <f>D8*0.015</f>
        <v>3750</v>
      </c>
      <c r="F8" s="160"/>
    </row>
    <row r="9" spans="2:12" ht="3" customHeight="1" thickBot="1" x14ac:dyDescent="0.35">
      <c r="B9" s="138"/>
      <c r="C9" s="139"/>
      <c r="D9" s="139"/>
      <c r="E9" s="140"/>
      <c r="F9" s="140"/>
    </row>
    <row r="10" spans="2:12" ht="16.2" thickBot="1" x14ac:dyDescent="0.35">
      <c r="B10" s="385" t="s">
        <v>76</v>
      </c>
      <c r="C10" s="401"/>
      <c r="D10" s="401"/>
      <c r="E10" s="401"/>
      <c r="F10" s="412"/>
    </row>
    <row r="11" spans="2:12" ht="6" customHeight="1" thickBot="1" x14ac:dyDescent="0.35"/>
    <row r="12" spans="2:12" ht="26.7" customHeight="1" thickBot="1" x14ac:dyDescent="0.35">
      <c r="B12" s="442" t="s">
        <v>128</v>
      </c>
      <c r="C12" s="443"/>
      <c r="D12" s="183" t="s">
        <v>105</v>
      </c>
      <c r="E12" s="183" t="s">
        <v>125</v>
      </c>
      <c r="F12" s="184" t="s">
        <v>129</v>
      </c>
      <c r="L12" s="156"/>
    </row>
    <row r="13" spans="2:12" ht="3" customHeight="1" thickBot="1" x14ac:dyDescent="0.35">
      <c r="B13" s="141"/>
      <c r="F13" s="142"/>
      <c r="L13" s="3"/>
    </row>
    <row r="14" spans="2:12" x14ac:dyDescent="0.3">
      <c r="B14" s="397" t="s">
        <v>130</v>
      </c>
      <c r="C14" s="398"/>
      <c r="D14" s="161">
        <v>450000</v>
      </c>
      <c r="E14" s="161">
        <f>IF(ISBLANK(D14),0,D14*0.015)</f>
        <v>6750</v>
      </c>
      <c r="F14" s="162"/>
      <c r="L14" s="3"/>
    </row>
    <row r="15" spans="2:12" x14ac:dyDescent="0.3">
      <c r="B15" s="399"/>
      <c r="C15" s="400"/>
      <c r="D15" s="163"/>
      <c r="E15" s="163">
        <f t="shared" ref="E15:E17" si="0">IF(ISBLANK(D15),0,D15*0.015)</f>
        <v>0</v>
      </c>
      <c r="F15" s="164"/>
      <c r="L15" s="3"/>
    </row>
    <row r="16" spans="2:12" x14ac:dyDescent="0.3">
      <c r="B16" s="399"/>
      <c r="C16" s="400"/>
      <c r="D16" s="163"/>
      <c r="E16" s="163">
        <f t="shared" si="0"/>
        <v>0</v>
      </c>
      <c r="F16" s="164"/>
      <c r="L16" s="3"/>
    </row>
    <row r="17" spans="2:12" ht="16.2" thickBot="1" x14ac:dyDescent="0.35">
      <c r="B17" s="395"/>
      <c r="C17" s="396"/>
      <c r="D17" s="165"/>
      <c r="E17" s="165">
        <f t="shared" si="0"/>
        <v>0</v>
      </c>
      <c r="F17" s="166"/>
      <c r="L17" s="123"/>
    </row>
    <row r="18" spans="2:12" ht="6" customHeight="1" thickBot="1" x14ac:dyDescent="0.35"/>
    <row r="19" spans="2:12" ht="16.2" thickBot="1" x14ac:dyDescent="0.35">
      <c r="B19" s="385" t="s">
        <v>131</v>
      </c>
      <c r="C19" s="401"/>
      <c r="D19" s="401"/>
      <c r="E19" s="401"/>
      <c r="F19" s="412"/>
    </row>
    <row r="20" spans="2:12" ht="6" customHeight="1" thickBot="1" x14ac:dyDescent="0.35">
      <c r="B20"/>
    </row>
    <row r="21" spans="2:12" ht="27" customHeight="1" thickBot="1" x14ac:dyDescent="0.35">
      <c r="B21" s="134" t="s">
        <v>132</v>
      </c>
      <c r="C21" s="135" t="s">
        <v>133</v>
      </c>
      <c r="D21" s="136" t="s">
        <v>134</v>
      </c>
      <c r="E21" s="135" t="s">
        <v>135</v>
      </c>
      <c r="F21" s="137" t="s">
        <v>136</v>
      </c>
    </row>
    <row r="22" spans="2:12" ht="16.2" thickBot="1" x14ac:dyDescent="0.35">
      <c r="B22" s="146">
        <v>0.5</v>
      </c>
      <c r="C22" s="145">
        <v>2</v>
      </c>
      <c r="D22" s="147">
        <f>('Etat Civil'!H8+'Etat Civil'!H14+'Etat Civil'!H10+'Etat Civil'!H16)*'Prévision retraite'!B22+'Etat Civil'!H9+'Etat Civil'!H15+(SUM(F14:F17)*12)*0.8</f>
        <v>43505</v>
      </c>
      <c r="E22" s="147">
        <f>'Impôt Retraite'!D14</f>
        <v>2592.8525</v>
      </c>
      <c r="F22" s="148">
        <f>SUM(E8,E14:E17)</f>
        <v>10500</v>
      </c>
      <c r="G22" s="156"/>
      <c r="H22" s="156"/>
      <c r="I22" s="393"/>
      <c r="J22" s="393"/>
    </row>
    <row r="23" spans="2:12" ht="6.45" customHeight="1" thickBot="1" x14ac:dyDescent="0.35">
      <c r="B23"/>
      <c r="F23" s="128"/>
      <c r="G23" s="3"/>
      <c r="H23" s="3"/>
      <c r="I23" s="3"/>
      <c r="J23" s="3"/>
    </row>
    <row r="24" spans="2:12" ht="17.7" customHeight="1" x14ac:dyDescent="0.3">
      <c r="B24" s="433" t="s">
        <v>137</v>
      </c>
      <c r="C24" s="434"/>
      <c r="D24" s="435"/>
      <c r="E24" s="185">
        <f>D22-F22-E22</f>
        <v>30412.147499999999</v>
      </c>
      <c r="F24" s="149" t="str">
        <f>ROUND((E24/12),0)&amp;"€/mois"</f>
        <v>2534€/mois</v>
      </c>
      <c r="G24" s="126"/>
      <c r="H24" s="125"/>
      <c r="I24" s="422"/>
      <c r="J24" s="422"/>
    </row>
    <row r="25" spans="2:12" ht="16.95" customHeight="1" thickBot="1" x14ac:dyDescent="0.35">
      <c r="B25" s="439" t="s">
        <v>138</v>
      </c>
      <c r="C25" s="440"/>
      <c r="D25" s="441"/>
      <c r="E25" s="186" t="e">
        <f>E24-C30</f>
        <v>#REF!</v>
      </c>
      <c r="F25" s="150" t="e">
        <f>ROUND((E25/12),0)&amp;"€/mois"</f>
        <v>#REF!</v>
      </c>
    </row>
    <row r="26" spans="2:12" ht="3" customHeight="1" thickBot="1" x14ac:dyDescent="0.35">
      <c r="B26" s="108"/>
      <c r="C26" s="125"/>
      <c r="D26" s="107"/>
      <c r="E26" s="107"/>
      <c r="F26" s="107"/>
      <c r="G26" s="126"/>
      <c r="H26" s="125"/>
      <c r="I26" s="422"/>
      <c r="J26" s="422"/>
    </row>
    <row r="27" spans="2:12" ht="16.95" customHeight="1" thickBot="1" x14ac:dyDescent="0.35">
      <c r="B27" s="436" t="s">
        <v>63</v>
      </c>
      <c r="C27" s="437"/>
      <c r="D27" s="437"/>
      <c r="E27" s="437"/>
      <c r="F27" s="438"/>
      <c r="G27" s="143"/>
      <c r="H27" s="143"/>
      <c r="I27" s="143"/>
      <c r="J27" s="143"/>
      <c r="K27" s="143"/>
    </row>
    <row r="28" spans="2:12" ht="4.2" customHeight="1" x14ac:dyDescent="0.3"/>
    <row r="29" spans="2:12" ht="13.2" customHeight="1" x14ac:dyDescent="0.3">
      <c r="B29" s="408"/>
      <c r="C29" s="408"/>
      <c r="D29" s="408"/>
      <c r="E29" s="408"/>
      <c r="F29" s="408"/>
      <c r="G29" s="408"/>
      <c r="H29" s="408"/>
      <c r="I29" s="408"/>
      <c r="J29" s="408"/>
      <c r="K29" s="408"/>
    </row>
    <row r="30" spans="2:12" hidden="1" x14ac:dyDescent="0.3">
      <c r="B30" s="2" t="s">
        <v>139</v>
      </c>
      <c r="C30" s="159" t="e">
        <f>('Etat Civil'!H8+'Etat Civil'!H14+'Etat Civil'!H10+'Etat Civil'!H16)-'Etat Civil'!G30-('Principaux objectifs'!F5*12)+(SUM('Situation Patrimoniale'!I13:I16)*0.8)*12-SUM('Situation Patrimoniale'!H13:H16)*12-SUM('Situation Patrimoniale'!G22:G24)*12-IF('Situation Patrimoniale'!B30="Changement RP",'Situation Patrimoniale'!H30*12,IF('Situation Patrimoniale'!B31="Changement RP",'Situation Patrimoniale'!H31*12,'Situation Patrimoniale'!#REF!*12))</f>
        <v>#REF!</v>
      </c>
    </row>
  </sheetData>
  <mergeCells count="18">
    <mergeCell ref="B17:C17"/>
    <mergeCell ref="B16:C16"/>
    <mergeCell ref="B15:C15"/>
    <mergeCell ref="B14:C14"/>
    <mergeCell ref="B2:F3"/>
    <mergeCell ref="B29:K29"/>
    <mergeCell ref="I26:J26"/>
    <mergeCell ref="B5:F6"/>
    <mergeCell ref="B10:F10"/>
    <mergeCell ref="B8:C8"/>
    <mergeCell ref="B7:C7"/>
    <mergeCell ref="B24:D24"/>
    <mergeCell ref="B27:F27"/>
    <mergeCell ref="B25:D25"/>
    <mergeCell ref="B19:F19"/>
    <mergeCell ref="I24:J24"/>
    <mergeCell ref="I22:J22"/>
    <mergeCell ref="B12:C12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CAA26-0AED-4447-AB1C-CE0270352784}">
  <sheetPr codeName="Feuil6"/>
  <dimension ref="B1:M23"/>
  <sheetViews>
    <sheetView showGridLines="0" zoomScale="110" zoomScaleNormal="110" workbookViewId="0">
      <selection activeCell="H27" sqref="H27"/>
    </sheetView>
  </sheetViews>
  <sheetFormatPr baseColWidth="10" defaultColWidth="11" defaultRowHeight="15.6" x14ac:dyDescent="0.3"/>
  <cols>
    <col min="1" max="1" width="6.19921875" customWidth="1"/>
    <col min="2" max="2" width="11.19921875" style="2"/>
    <col min="3" max="3" width="14.19921875" bestFit="1" customWidth="1"/>
    <col min="4" max="4" width="14" bestFit="1" customWidth="1"/>
    <col min="5" max="5" width="15.19921875" customWidth="1"/>
    <col min="6" max="6" width="12.69921875" customWidth="1"/>
    <col min="8" max="8" width="11.69921875" bestFit="1" customWidth="1"/>
    <col min="9" max="9" width="12.19921875" customWidth="1"/>
    <col min="10" max="10" width="1.19921875" customWidth="1"/>
    <col min="11" max="11" width="12.19921875" customWidth="1"/>
    <col min="12" max="12" width="20.69921875" customWidth="1"/>
    <col min="13" max="13" width="14.69921875" customWidth="1"/>
  </cols>
  <sheetData>
    <row r="1" spans="2:13" ht="3" customHeight="1" thickBot="1" x14ac:dyDescent="0.35"/>
    <row r="2" spans="2:13" ht="19.95" customHeight="1" x14ac:dyDescent="0.3">
      <c r="B2" s="416" t="s">
        <v>140</v>
      </c>
      <c r="C2" s="417"/>
      <c r="D2" s="417"/>
      <c r="E2" s="417"/>
      <c r="F2" s="417"/>
      <c r="G2" s="417"/>
      <c r="H2" s="417"/>
      <c r="I2" s="417"/>
      <c r="J2" s="417"/>
      <c r="K2" s="417"/>
      <c r="L2" s="418"/>
    </row>
    <row r="3" spans="2:13" ht="19.95" customHeight="1" thickBot="1" x14ac:dyDescent="0.35">
      <c r="B3" s="419"/>
      <c r="C3" s="420"/>
      <c r="D3" s="420"/>
      <c r="E3" s="420"/>
      <c r="F3" s="420"/>
      <c r="G3" s="420"/>
      <c r="H3" s="420"/>
      <c r="I3" s="420"/>
      <c r="J3" s="420"/>
      <c r="K3" s="420"/>
      <c r="L3" s="421"/>
    </row>
    <row r="4" spans="2:13" ht="4.2" customHeight="1" x14ac:dyDescent="0.3"/>
    <row r="5" spans="2:13" x14ac:dyDescent="0.3">
      <c r="B5" s="451" t="s">
        <v>141</v>
      </c>
      <c r="C5" s="451"/>
      <c r="D5" s="451"/>
      <c r="E5" s="451"/>
      <c r="F5" s="451"/>
      <c r="G5" s="451"/>
      <c r="H5" s="451"/>
      <c r="I5" s="451"/>
      <c r="J5" s="451"/>
      <c r="K5" s="451"/>
      <c r="L5" s="451"/>
    </row>
    <row r="6" spans="2:13" ht="6" customHeight="1" thickBot="1" x14ac:dyDescent="0.35"/>
    <row r="7" spans="2:13" ht="16.2" thickBot="1" x14ac:dyDescent="0.35">
      <c r="B7" s="180" t="s">
        <v>128</v>
      </c>
      <c r="C7" s="181" t="s">
        <v>105</v>
      </c>
      <c r="D7" s="181" t="s">
        <v>142</v>
      </c>
      <c r="E7" s="181" t="s">
        <v>143</v>
      </c>
      <c r="F7" s="181" t="s">
        <v>144</v>
      </c>
      <c r="G7" s="181" t="s">
        <v>88</v>
      </c>
      <c r="H7" s="181" t="s">
        <v>89</v>
      </c>
      <c r="I7" s="181" t="s">
        <v>97</v>
      </c>
      <c r="J7" s="432" t="s">
        <v>91</v>
      </c>
      <c r="K7" s="432"/>
      <c r="L7" s="182" t="s">
        <v>145</v>
      </c>
      <c r="M7" s="182" t="s">
        <v>80</v>
      </c>
    </row>
    <row r="8" spans="2:13" ht="4.95" customHeight="1" thickBot="1" x14ac:dyDescent="0.35">
      <c r="K8" s="1"/>
    </row>
    <row r="9" spans="2:13" x14ac:dyDescent="0.3">
      <c r="B9" s="154"/>
      <c r="C9" s="167"/>
      <c r="D9" s="167"/>
      <c r="E9" s="167"/>
      <c r="F9" s="87"/>
      <c r="G9" s="87"/>
      <c r="H9" s="170"/>
      <c r="I9" s="91"/>
      <c r="J9" s="445"/>
      <c r="K9" s="446"/>
      <c r="L9" s="175"/>
    </row>
    <row r="10" spans="2:13" x14ac:dyDescent="0.3">
      <c r="B10" s="157"/>
      <c r="C10" s="168"/>
      <c r="D10" s="168"/>
      <c r="E10" s="168"/>
      <c r="F10" s="90"/>
      <c r="G10" s="90"/>
      <c r="H10" s="171"/>
      <c r="I10" s="92"/>
      <c r="J10" s="447"/>
      <c r="K10" s="448"/>
      <c r="L10" s="176"/>
    </row>
    <row r="11" spans="2:13" ht="16.2" thickBot="1" x14ac:dyDescent="0.35">
      <c r="B11" s="157"/>
      <c r="C11" s="168"/>
      <c r="D11" s="168"/>
      <c r="E11" s="168"/>
      <c r="F11" s="88"/>
      <c r="G11" s="88"/>
      <c r="H11" s="172"/>
      <c r="I11" s="10"/>
      <c r="J11" s="449"/>
      <c r="K11" s="449"/>
      <c r="L11" s="176"/>
    </row>
    <row r="12" spans="2:13" ht="16.2" thickBot="1" x14ac:dyDescent="0.35">
      <c r="B12" s="152"/>
      <c r="C12" s="169"/>
      <c r="D12" s="169"/>
      <c r="E12" s="169"/>
      <c r="F12" s="89"/>
      <c r="G12" s="89"/>
      <c r="H12" s="173"/>
      <c r="I12" s="9"/>
      <c r="J12" s="450"/>
      <c r="K12" s="450"/>
      <c r="L12" s="177"/>
      <c r="M12" s="174"/>
    </row>
    <row r="13" spans="2:13" ht="11.7" customHeight="1" thickBot="1" x14ac:dyDescent="0.35"/>
    <row r="14" spans="2:13" ht="16.2" thickBot="1" x14ac:dyDescent="0.35">
      <c r="B14" s="385" t="s">
        <v>146</v>
      </c>
      <c r="C14" s="401"/>
      <c r="D14" s="401"/>
      <c r="E14" s="401"/>
      <c r="F14" s="401"/>
      <c r="G14" s="401"/>
      <c r="H14" s="401"/>
      <c r="I14" s="401"/>
      <c r="J14" s="401"/>
      <c r="K14" s="401"/>
      <c r="L14" s="412"/>
    </row>
    <row r="15" spans="2:13" ht="6" customHeight="1" thickBot="1" x14ac:dyDescent="0.35"/>
    <row r="16" spans="2:13" ht="16.2" thickBot="1" x14ac:dyDescent="0.35">
      <c r="B16" s="180" t="s">
        <v>128</v>
      </c>
      <c r="C16" s="181" t="s">
        <v>105</v>
      </c>
      <c r="D16" s="181" t="s">
        <v>142</v>
      </c>
      <c r="E16" s="181" t="s">
        <v>143</v>
      </c>
      <c r="F16" s="181" t="s">
        <v>144</v>
      </c>
      <c r="G16" s="181" t="s">
        <v>88</v>
      </c>
      <c r="H16" s="181" t="s">
        <v>89</v>
      </c>
      <c r="I16" s="181" t="s">
        <v>97</v>
      </c>
      <c r="J16" s="432" t="s">
        <v>91</v>
      </c>
      <c r="K16" s="432"/>
      <c r="L16" s="182" t="s">
        <v>145</v>
      </c>
      <c r="M16" s="182" t="s">
        <v>80</v>
      </c>
    </row>
    <row r="17" spans="2:13" ht="4.95" customHeight="1" thickBot="1" x14ac:dyDescent="0.35">
      <c r="K17" s="1"/>
    </row>
    <row r="18" spans="2:13" ht="16.95" customHeight="1" x14ac:dyDescent="0.3">
      <c r="B18" s="154"/>
      <c r="C18" s="167"/>
      <c r="D18" s="167"/>
      <c r="E18" s="167"/>
      <c r="F18" s="87"/>
      <c r="G18" s="87"/>
      <c r="H18" s="170"/>
      <c r="I18" s="91"/>
      <c r="J18" s="445"/>
      <c r="K18" s="446"/>
      <c r="L18" s="175"/>
    </row>
    <row r="19" spans="2:13" ht="16.95" customHeight="1" x14ac:dyDescent="0.3">
      <c r="B19" s="157"/>
      <c r="C19" s="168"/>
      <c r="D19" s="168"/>
      <c r="E19" s="168"/>
      <c r="F19" s="90"/>
      <c r="G19" s="90"/>
      <c r="H19" s="171"/>
      <c r="I19" s="92"/>
      <c r="J19" s="447"/>
      <c r="K19" s="448"/>
      <c r="L19" s="176"/>
    </row>
    <row r="20" spans="2:13" ht="16.95" customHeight="1" thickBot="1" x14ac:dyDescent="0.35">
      <c r="B20" s="157"/>
      <c r="C20" s="168"/>
      <c r="D20" s="168"/>
      <c r="E20" s="168"/>
      <c r="F20" s="88"/>
      <c r="G20" s="88"/>
      <c r="H20" s="172"/>
      <c r="I20" s="10"/>
      <c r="J20" s="449"/>
      <c r="K20" s="449"/>
      <c r="L20" s="176"/>
    </row>
    <row r="21" spans="2:13" ht="16.2" thickBot="1" x14ac:dyDescent="0.35">
      <c r="B21" s="152"/>
      <c r="C21" s="169"/>
      <c r="D21" s="169"/>
      <c r="E21" s="169"/>
      <c r="F21" s="89"/>
      <c r="G21" s="89"/>
      <c r="H21" s="173"/>
      <c r="I21" s="9"/>
      <c r="J21" s="450"/>
      <c r="K21" s="450"/>
      <c r="L21" s="177"/>
      <c r="M21" s="174"/>
    </row>
    <row r="22" spans="2:13" ht="4.2" customHeight="1" x14ac:dyDescent="0.3"/>
    <row r="23" spans="2:13" ht="13.2" customHeight="1" x14ac:dyDescent="0.3">
      <c r="B23" s="444" t="s">
        <v>63</v>
      </c>
      <c r="C23" s="444"/>
      <c r="D23" s="444"/>
      <c r="E23" s="444"/>
      <c r="F23" s="444"/>
      <c r="G23" s="444"/>
      <c r="H23" s="444"/>
      <c r="I23" s="444"/>
      <c r="J23" s="444"/>
      <c r="K23" s="444"/>
      <c r="L23" s="444"/>
    </row>
  </sheetData>
  <mergeCells count="14">
    <mergeCell ref="J12:K12"/>
    <mergeCell ref="B2:L3"/>
    <mergeCell ref="B5:L5"/>
    <mergeCell ref="J7:K7"/>
    <mergeCell ref="J9:K9"/>
    <mergeCell ref="J10:K10"/>
    <mergeCell ref="J11:K11"/>
    <mergeCell ref="B23:L23"/>
    <mergeCell ref="B14:L14"/>
    <mergeCell ref="J18:K18"/>
    <mergeCell ref="J19:K19"/>
    <mergeCell ref="J20:K20"/>
    <mergeCell ref="J21:K21"/>
    <mergeCell ref="J16:K16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69755-DFDC-1341-AF6D-E2052BE2F527}">
  <sheetPr codeName="Feuil8"/>
  <dimension ref="B1:G25"/>
  <sheetViews>
    <sheetView showGridLines="0" zoomScale="115" zoomScaleNormal="115" workbookViewId="0">
      <selection activeCell="J12" sqref="J12"/>
    </sheetView>
  </sheetViews>
  <sheetFormatPr baseColWidth="10" defaultColWidth="11" defaultRowHeight="15.6" x14ac:dyDescent="0.3"/>
  <cols>
    <col min="1" max="1" width="5" customWidth="1"/>
    <col min="2" max="2" width="17.19921875" customWidth="1"/>
    <col min="3" max="3" width="19.19921875" customWidth="1"/>
    <col min="4" max="4" width="15.5" customWidth="1"/>
    <col min="7" max="7" width="13" customWidth="1"/>
  </cols>
  <sheetData>
    <row r="1" spans="2:7" ht="4.2" customHeight="1" thickBot="1" x14ac:dyDescent="0.35"/>
    <row r="2" spans="2:7" ht="19.95" customHeight="1" x14ac:dyDescent="0.3">
      <c r="B2" s="364" t="s">
        <v>147</v>
      </c>
      <c r="C2" s="365"/>
      <c r="D2" s="365"/>
      <c r="E2" s="365"/>
      <c r="F2" s="365"/>
      <c r="G2" s="366"/>
    </row>
    <row r="3" spans="2:7" ht="19.95" customHeight="1" thickBot="1" x14ac:dyDescent="0.35">
      <c r="B3" s="367"/>
      <c r="C3" s="368"/>
      <c r="D3" s="368"/>
      <c r="E3" s="368"/>
      <c r="F3" s="368"/>
      <c r="G3" s="369"/>
    </row>
    <row r="4" spans="2:7" ht="4.95" customHeight="1" thickBot="1" x14ac:dyDescent="0.35"/>
    <row r="5" spans="2:7" ht="16.95" customHeight="1" thickBot="1" x14ac:dyDescent="0.35">
      <c r="B5" s="459" t="s">
        <v>148</v>
      </c>
      <c r="C5" s="460"/>
      <c r="D5" s="460"/>
      <c r="E5" s="461"/>
      <c r="F5" s="452">
        <v>400</v>
      </c>
      <c r="G5" s="453"/>
    </row>
    <row r="6" spans="2:7" ht="16.2" thickBot="1" x14ac:dyDescent="0.35">
      <c r="B6" s="385" t="s">
        <v>149</v>
      </c>
      <c r="C6" s="401"/>
      <c r="D6" s="401"/>
      <c r="E6" s="401"/>
      <c r="F6" s="401"/>
      <c r="G6" s="412"/>
    </row>
    <row r="7" spans="2:7" ht="4.95" customHeight="1" thickBot="1" x14ac:dyDescent="0.35"/>
    <row r="8" spans="2:7" ht="16.2" thickBot="1" x14ac:dyDescent="0.35">
      <c r="B8" s="299" t="s">
        <v>150</v>
      </c>
      <c r="C8" s="300" t="s">
        <v>151</v>
      </c>
      <c r="D8" s="300" t="s">
        <v>152</v>
      </c>
      <c r="E8" s="465" t="s">
        <v>49</v>
      </c>
      <c r="F8" s="465"/>
      <c r="G8" s="466"/>
    </row>
    <row r="9" spans="2:7" ht="6" customHeight="1" thickBot="1" x14ac:dyDescent="0.35"/>
    <row r="10" spans="2:7" ht="34.950000000000003" customHeight="1" x14ac:dyDescent="0.3">
      <c r="B10" s="94" t="s">
        <v>153</v>
      </c>
      <c r="C10" s="91"/>
      <c r="D10" s="155" t="s">
        <v>154</v>
      </c>
      <c r="E10" s="467" t="s">
        <v>155</v>
      </c>
      <c r="F10" s="467"/>
      <c r="G10" s="468"/>
    </row>
    <row r="11" spans="2:7" ht="37.950000000000003" customHeight="1" x14ac:dyDescent="0.3">
      <c r="B11" s="95" t="s">
        <v>156</v>
      </c>
      <c r="C11" s="92"/>
      <c r="D11" s="158" t="s">
        <v>154</v>
      </c>
      <c r="E11" s="469" t="s">
        <v>157</v>
      </c>
      <c r="F11" s="469"/>
      <c r="G11" s="470"/>
    </row>
    <row r="12" spans="2:7" ht="36.450000000000003" customHeight="1" x14ac:dyDescent="0.3">
      <c r="B12" s="95" t="s">
        <v>158</v>
      </c>
      <c r="C12" s="92"/>
      <c r="D12" s="158" t="s">
        <v>159</v>
      </c>
      <c r="E12" s="469" t="s">
        <v>160</v>
      </c>
      <c r="F12" s="469"/>
      <c r="G12" s="470"/>
    </row>
    <row r="13" spans="2:7" ht="16.2" thickBot="1" x14ac:dyDescent="0.35">
      <c r="B13" s="96"/>
      <c r="C13" s="93"/>
      <c r="D13" s="153"/>
      <c r="E13" s="457"/>
      <c r="F13" s="457"/>
      <c r="G13" s="458"/>
    </row>
    <row r="14" spans="2:7" ht="3" customHeight="1" x14ac:dyDescent="0.3"/>
    <row r="15" spans="2:7" x14ac:dyDescent="0.3">
      <c r="B15" s="451" t="s">
        <v>161</v>
      </c>
      <c r="C15" s="451"/>
      <c r="D15" s="451"/>
      <c r="E15" s="451"/>
      <c r="F15" s="451"/>
      <c r="G15" s="451"/>
    </row>
    <row r="16" spans="2:7" ht="6" customHeight="1" thickBot="1" x14ac:dyDescent="0.35"/>
    <row r="17" spans="2:7" ht="16.2" thickBot="1" x14ac:dyDescent="0.35">
      <c r="B17" s="299" t="s">
        <v>150</v>
      </c>
      <c r="C17" s="300" t="s">
        <v>151</v>
      </c>
      <c r="D17" s="300" t="s">
        <v>152</v>
      </c>
      <c r="E17" s="465" t="s">
        <v>49</v>
      </c>
      <c r="F17" s="465"/>
      <c r="G17" s="466"/>
    </row>
    <row r="18" spans="2:7" ht="6" customHeight="1" thickBot="1" x14ac:dyDescent="0.35"/>
    <row r="19" spans="2:7" x14ac:dyDescent="0.3">
      <c r="B19" s="94" t="s">
        <v>162</v>
      </c>
      <c r="C19" s="161">
        <v>50000</v>
      </c>
      <c r="D19" s="155" t="s">
        <v>163</v>
      </c>
      <c r="E19" s="467"/>
      <c r="F19" s="467"/>
      <c r="G19" s="468"/>
    </row>
    <row r="20" spans="2:7" x14ac:dyDescent="0.3">
      <c r="B20" s="95" t="s">
        <v>164</v>
      </c>
      <c r="C20" s="163">
        <v>50000</v>
      </c>
      <c r="D20" s="158" t="s">
        <v>165</v>
      </c>
      <c r="E20" s="454"/>
      <c r="F20" s="455"/>
      <c r="G20" s="456"/>
    </row>
    <row r="21" spans="2:7" hidden="1" x14ac:dyDescent="0.3">
      <c r="B21" s="95"/>
      <c r="C21" s="163"/>
      <c r="D21" s="158"/>
      <c r="E21" s="454"/>
      <c r="F21" s="455"/>
      <c r="G21" s="456"/>
    </row>
    <row r="22" spans="2:7" hidden="1" x14ac:dyDescent="0.3">
      <c r="B22" s="95"/>
      <c r="C22" s="163"/>
      <c r="D22" s="158"/>
      <c r="E22" s="454"/>
      <c r="F22" s="455"/>
      <c r="G22" s="456"/>
    </row>
    <row r="23" spans="2:7" ht="16.2" thickBot="1" x14ac:dyDescent="0.35">
      <c r="B23" s="96"/>
      <c r="C23" s="165"/>
      <c r="D23" s="153"/>
      <c r="E23" s="457"/>
      <c r="F23" s="457"/>
      <c r="G23" s="458"/>
    </row>
    <row r="24" spans="2:7" ht="3" customHeight="1" thickBot="1" x14ac:dyDescent="0.35"/>
    <row r="25" spans="2:7" ht="12" customHeight="1" thickBot="1" x14ac:dyDescent="0.35">
      <c r="B25" s="462" t="s">
        <v>63</v>
      </c>
      <c r="C25" s="463"/>
      <c r="D25" s="463"/>
      <c r="E25" s="463"/>
      <c r="F25" s="463"/>
      <c r="G25" s="464"/>
    </row>
  </sheetData>
  <mergeCells count="17">
    <mergeCell ref="B25:G25"/>
    <mergeCell ref="E13:G13"/>
    <mergeCell ref="B6:G6"/>
    <mergeCell ref="B15:G15"/>
    <mergeCell ref="E17:G17"/>
    <mergeCell ref="E19:G19"/>
    <mergeCell ref="E20:G20"/>
    <mergeCell ref="E8:G8"/>
    <mergeCell ref="E10:G10"/>
    <mergeCell ref="E11:G11"/>
    <mergeCell ref="E12:G12"/>
    <mergeCell ref="F5:G5"/>
    <mergeCell ref="E21:G21"/>
    <mergeCell ref="E22:G22"/>
    <mergeCell ref="E23:G23"/>
    <mergeCell ref="B2:G3"/>
    <mergeCell ref="B5:E5"/>
  </mergeCells>
  <pageMargins left="0.7" right="0.7" top="0.75" bottom="0.75" header="0.3" footer="0.3"/>
  <pageSetup paperSize="9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D11EA-2FA0-9046-B612-E754A0FF3BB5}">
  <sheetPr codeName="Feuil10"/>
  <dimension ref="B1:I11"/>
  <sheetViews>
    <sheetView showGridLines="0" zoomScale="130" zoomScaleNormal="130" workbookViewId="0">
      <selection activeCell="I9" sqref="I9"/>
    </sheetView>
  </sheetViews>
  <sheetFormatPr baseColWidth="10" defaultColWidth="11" defaultRowHeight="15.6" x14ac:dyDescent="0.3"/>
  <sheetData>
    <row r="1" spans="2:9" ht="16.2" thickBot="1" x14ac:dyDescent="0.35"/>
    <row r="2" spans="2:9" ht="19.95" customHeight="1" x14ac:dyDescent="0.3">
      <c r="B2" s="471" t="s">
        <v>166</v>
      </c>
      <c r="C2" s="472"/>
      <c r="D2" s="472"/>
      <c r="E2" s="472"/>
      <c r="F2" s="472"/>
      <c r="G2" s="472"/>
      <c r="H2" s="472"/>
      <c r="I2" s="473"/>
    </row>
    <row r="3" spans="2:9" ht="19.95" customHeight="1" thickBot="1" x14ac:dyDescent="0.35">
      <c r="B3" s="474"/>
      <c r="C3" s="475"/>
      <c r="D3" s="475"/>
      <c r="E3" s="475"/>
      <c r="F3" s="475"/>
      <c r="G3" s="475"/>
      <c r="H3" s="475"/>
      <c r="I3" s="476"/>
    </row>
    <row r="4" spans="2:9" ht="16.2" thickBot="1" x14ac:dyDescent="0.35"/>
    <row r="5" spans="2:9" ht="31.95" customHeight="1" thickBot="1" x14ac:dyDescent="0.35">
      <c r="C5" s="477" t="s">
        <v>167</v>
      </c>
      <c r="D5" s="478"/>
      <c r="E5" s="478"/>
      <c r="F5" s="478"/>
      <c r="G5" s="478"/>
      <c r="H5" s="479"/>
    </row>
    <row r="6" spans="2:9" ht="16.2" thickBot="1" x14ac:dyDescent="0.35"/>
    <row r="7" spans="2:9" ht="31.2" customHeight="1" thickBot="1" x14ac:dyDescent="0.35">
      <c r="C7" s="480" t="s">
        <v>168</v>
      </c>
      <c r="D7" s="478"/>
      <c r="E7" s="478"/>
      <c r="F7" s="478"/>
      <c r="G7" s="478"/>
      <c r="H7" s="479"/>
    </row>
    <row r="8" spans="2:9" ht="16.2" thickBot="1" x14ac:dyDescent="0.35"/>
    <row r="9" spans="2:9" ht="31.2" customHeight="1" thickBot="1" x14ac:dyDescent="0.35">
      <c r="C9" s="477" t="s">
        <v>169</v>
      </c>
      <c r="D9" s="478"/>
      <c r="E9" s="478"/>
      <c r="F9" s="478"/>
      <c r="G9" s="478"/>
      <c r="H9" s="479"/>
    </row>
    <row r="10" spans="2:9" ht="16.2" thickBot="1" x14ac:dyDescent="0.35"/>
    <row r="11" spans="2:9" ht="31.95" customHeight="1" thickBot="1" x14ac:dyDescent="0.35">
      <c r="C11" s="477" t="s">
        <v>170</v>
      </c>
      <c r="D11" s="478"/>
      <c r="E11" s="478"/>
      <c r="F11" s="478"/>
      <c r="G11" s="478"/>
      <c r="H11" s="479"/>
    </row>
  </sheetData>
  <mergeCells count="5">
    <mergeCell ref="B2:I3"/>
    <mergeCell ref="C5:H5"/>
    <mergeCell ref="C7:H7"/>
    <mergeCell ref="C9:H9"/>
    <mergeCell ref="C11:H11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4E466-89EC-4E92-ADA3-545065A81282}">
  <sheetPr codeName="Feuil11"/>
  <dimension ref="B1:I11"/>
  <sheetViews>
    <sheetView showGridLines="0" workbookViewId="0">
      <selection activeCell="H27" sqref="H27"/>
    </sheetView>
  </sheetViews>
  <sheetFormatPr baseColWidth="10" defaultColWidth="11" defaultRowHeight="15.6" x14ac:dyDescent="0.3"/>
  <sheetData>
    <row r="1" spans="2:9" ht="16.2" thickBot="1" x14ac:dyDescent="0.35"/>
    <row r="2" spans="2:9" ht="18.600000000000001" customHeight="1" x14ac:dyDescent="0.3">
      <c r="B2" s="471" t="s">
        <v>171</v>
      </c>
      <c r="C2" s="472"/>
      <c r="D2" s="472"/>
      <c r="E2" s="472"/>
      <c r="F2" s="472"/>
      <c r="G2" s="472"/>
      <c r="H2" s="472"/>
      <c r="I2" s="473"/>
    </row>
    <row r="3" spans="2:9" ht="25.2" customHeight="1" thickBot="1" x14ac:dyDescent="0.35">
      <c r="B3" s="481"/>
      <c r="C3" s="482"/>
      <c r="D3" s="482"/>
      <c r="E3" s="482"/>
      <c r="F3" s="482"/>
      <c r="G3" s="482"/>
      <c r="H3" s="482"/>
      <c r="I3" s="483"/>
    </row>
    <row r="4" spans="2:9" ht="30" customHeight="1" x14ac:dyDescent="0.3">
      <c r="B4" s="484"/>
      <c r="C4" s="485"/>
      <c r="D4" s="485"/>
      <c r="E4" s="485"/>
      <c r="F4" s="485"/>
      <c r="G4" s="485"/>
      <c r="H4" s="485"/>
      <c r="I4" s="486"/>
    </row>
    <row r="5" spans="2:9" ht="30" customHeight="1" x14ac:dyDescent="0.3">
      <c r="B5" s="487"/>
      <c r="C5" s="488"/>
      <c r="D5" s="488"/>
      <c r="E5" s="488"/>
      <c r="F5" s="488"/>
      <c r="G5" s="488"/>
      <c r="H5" s="488"/>
      <c r="I5" s="489"/>
    </row>
    <row r="6" spans="2:9" ht="30" customHeight="1" x14ac:dyDescent="0.3">
      <c r="B6" s="487"/>
      <c r="C6" s="488"/>
      <c r="D6" s="488"/>
      <c r="E6" s="488"/>
      <c r="F6" s="488"/>
      <c r="G6" s="488"/>
      <c r="H6" s="488"/>
      <c r="I6" s="489"/>
    </row>
    <row r="7" spans="2:9" ht="30" customHeight="1" x14ac:dyDescent="0.3">
      <c r="B7" s="487"/>
      <c r="C7" s="488"/>
      <c r="D7" s="488"/>
      <c r="E7" s="488"/>
      <c r="F7" s="488"/>
      <c r="G7" s="488"/>
      <c r="H7" s="488"/>
      <c r="I7" s="489"/>
    </row>
    <row r="8" spans="2:9" ht="30" customHeight="1" x14ac:dyDescent="0.3">
      <c r="B8" s="487"/>
      <c r="C8" s="488"/>
      <c r="D8" s="488"/>
      <c r="E8" s="488"/>
      <c r="F8" s="488"/>
      <c r="G8" s="488"/>
      <c r="H8" s="488"/>
      <c r="I8" s="489"/>
    </row>
    <row r="9" spans="2:9" ht="30" customHeight="1" x14ac:dyDescent="0.3">
      <c r="B9" s="487"/>
      <c r="C9" s="488"/>
      <c r="D9" s="488"/>
      <c r="E9" s="488"/>
      <c r="F9" s="488"/>
      <c r="G9" s="488"/>
      <c r="H9" s="488"/>
      <c r="I9" s="489"/>
    </row>
    <row r="10" spans="2:9" ht="30" customHeight="1" x14ac:dyDescent="0.3">
      <c r="B10" s="487"/>
      <c r="C10" s="488"/>
      <c r="D10" s="488"/>
      <c r="E10" s="488"/>
      <c r="F10" s="488"/>
      <c r="G10" s="488"/>
      <c r="H10" s="488"/>
      <c r="I10" s="489"/>
    </row>
    <row r="11" spans="2:9" ht="30" customHeight="1" thickBot="1" x14ac:dyDescent="0.35">
      <c r="B11" s="490"/>
      <c r="C11" s="491"/>
      <c r="D11" s="491"/>
      <c r="E11" s="491"/>
      <c r="F11" s="491"/>
      <c r="G11" s="491"/>
      <c r="H11" s="491"/>
      <c r="I11" s="492"/>
    </row>
  </sheetData>
  <mergeCells count="2">
    <mergeCell ref="B2:I3"/>
    <mergeCell ref="B4:I1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C482F-7E61-4E13-9BAD-CADBD8A05993}">
  <sheetPr codeName="Feuil12"/>
  <dimension ref="A1:S42"/>
  <sheetViews>
    <sheetView showGridLines="0" zoomScale="85" zoomScaleNormal="85" workbookViewId="0">
      <selection activeCell="H27" sqref="H27"/>
    </sheetView>
  </sheetViews>
  <sheetFormatPr baseColWidth="10" defaultColWidth="10.19921875" defaultRowHeight="14.4" x14ac:dyDescent="0.3"/>
  <cols>
    <col min="1" max="1" width="10.19921875" style="11"/>
    <col min="2" max="3" width="11.69921875" style="11" bestFit="1" customWidth="1"/>
    <col min="4" max="4" width="10.19921875" style="11"/>
    <col min="5" max="5" width="28.19921875" style="11" customWidth="1"/>
    <col min="6" max="6" width="21.69921875" style="11" customWidth="1"/>
    <col min="7" max="7" width="2.19921875" style="11" customWidth="1"/>
    <col min="8" max="8" width="28.19921875" style="11" customWidth="1"/>
    <col min="9" max="9" width="14.19921875" style="11" bestFit="1" customWidth="1"/>
    <col min="10" max="10" width="11.69921875" style="11" bestFit="1" customWidth="1"/>
    <col min="11" max="14" width="10.19921875" style="11"/>
    <col min="15" max="15" width="24.19921875" style="11" customWidth="1"/>
    <col min="16" max="16384" width="10.19921875" style="11"/>
  </cols>
  <sheetData>
    <row r="1" spans="1:15" ht="15" thickBot="1" x14ac:dyDescent="0.35">
      <c r="A1" s="493" t="s">
        <v>172</v>
      </c>
      <c r="B1" s="494"/>
      <c r="C1" s="494"/>
      <c r="D1" s="494"/>
      <c r="E1" s="494"/>
      <c r="F1" s="494"/>
      <c r="G1" s="494"/>
      <c r="H1" s="494"/>
      <c r="I1" s="494"/>
      <c r="J1" s="495"/>
    </row>
    <row r="2" spans="1:15" ht="16.2" customHeight="1" thickBot="1" x14ac:dyDescent="0.35">
      <c r="A2" s="502"/>
      <c r="B2" s="512"/>
      <c r="C2" s="512"/>
      <c r="D2" s="512"/>
      <c r="E2" s="512"/>
      <c r="F2" s="512"/>
      <c r="G2" s="512"/>
      <c r="H2" s="501"/>
      <c r="I2" s="501"/>
      <c r="J2" s="516"/>
    </row>
    <row r="3" spans="1:15" ht="15.45" customHeight="1" thickBot="1" x14ac:dyDescent="0.35">
      <c r="A3" s="503"/>
      <c r="B3" s="496" t="s">
        <v>173</v>
      </c>
      <c r="C3" s="497"/>
      <c r="D3" s="497"/>
      <c r="E3" s="497"/>
      <c r="F3" s="498"/>
      <c r="G3" s="510"/>
      <c r="H3" s="63" t="s">
        <v>174</v>
      </c>
      <c r="I3" s="61"/>
      <c r="J3" s="110">
        <f>IF('Etat Civil'!C11='Etat Civil'!G44,'Etat Civil'!H8-'Etat Civil'!E11,'Etat Civil'!H8-MIN('Etat Civil'!H8*0.1,12829))+IF('Etat Civil'!C17='Etat Civil'!G44,'Etat Civil'!H14-'Etat Civil'!E17,'Etat Civil'!H14-MIN('Etat Civil'!H14*0.1,12829))+IF(ISNUMBER('Etat Civil'!H22),('Etat Civil'!H22-MAX(400,MIN('Etat Civil'!H22*0.1,3912))),0)+'Etat Civil'!H10+'Etat Civil'!H16+'Etat Civil'!H20-'Etat Civil'!G32</f>
        <v>78309</v>
      </c>
    </row>
    <row r="4" spans="1:15" ht="15.45" customHeight="1" thickBot="1" x14ac:dyDescent="0.35">
      <c r="A4" s="503"/>
      <c r="B4" s="42"/>
      <c r="C4" s="43"/>
      <c r="D4" s="59"/>
      <c r="E4" s="43"/>
      <c r="F4" s="44"/>
      <c r="G4" s="510"/>
      <c r="H4" s="64" t="s">
        <v>175</v>
      </c>
      <c r="I4" s="62"/>
      <c r="J4" s="60">
        <f>'Impôt 2021 revenus 2020'!C10</f>
        <v>3</v>
      </c>
      <c r="M4" s="11">
        <v>0</v>
      </c>
      <c r="O4" s="11" t="s">
        <v>176</v>
      </c>
    </row>
    <row r="5" spans="1:15" ht="15.45" customHeight="1" x14ac:dyDescent="0.3">
      <c r="A5" s="503"/>
      <c r="B5" s="45">
        <v>0</v>
      </c>
      <c r="C5" s="46">
        <v>10777</v>
      </c>
      <c r="D5" s="51">
        <f>0</f>
        <v>0</v>
      </c>
      <c r="E5" s="46">
        <f>0</f>
        <v>0</v>
      </c>
      <c r="F5" s="47"/>
      <c r="G5" s="510"/>
      <c r="H5" s="512"/>
      <c r="I5" s="512"/>
      <c r="J5" s="505"/>
      <c r="M5" s="11">
        <v>1</v>
      </c>
      <c r="O5" s="11" t="s">
        <v>177</v>
      </c>
    </row>
    <row r="6" spans="1:15" ht="15.45" customHeight="1" x14ac:dyDescent="0.3">
      <c r="A6" s="503"/>
      <c r="B6" s="45">
        <v>10778</v>
      </c>
      <c r="C6" s="46">
        <v>27478</v>
      </c>
      <c r="D6" s="51">
        <v>0.11</v>
      </c>
      <c r="E6" s="46">
        <f>(C6-B6)*D6</f>
        <v>1837</v>
      </c>
      <c r="F6" s="47"/>
      <c r="G6" s="510"/>
      <c r="H6" s="510"/>
      <c r="I6" s="510"/>
      <c r="J6" s="506"/>
      <c r="M6" s="11">
        <v>2</v>
      </c>
      <c r="O6" s="11" t="s">
        <v>178</v>
      </c>
    </row>
    <row r="7" spans="1:15" ht="15.45" customHeight="1" x14ac:dyDescent="0.3">
      <c r="A7" s="503"/>
      <c r="B7" s="45">
        <v>27479</v>
      </c>
      <c r="C7" s="46">
        <v>78570</v>
      </c>
      <c r="D7" s="51">
        <f>0.3</f>
        <v>0.3</v>
      </c>
      <c r="E7" s="46">
        <f>(C7-B7)*D7</f>
        <v>15327.3</v>
      </c>
      <c r="F7" s="47">
        <f>E7+E6</f>
        <v>17164.3</v>
      </c>
      <c r="G7" s="510"/>
      <c r="H7" s="510"/>
      <c r="I7" s="510"/>
      <c r="J7" s="506"/>
      <c r="M7" s="11">
        <v>3</v>
      </c>
    </row>
    <row r="8" spans="1:15" ht="15.45" customHeight="1" thickBot="1" x14ac:dyDescent="0.35">
      <c r="A8" s="503"/>
      <c r="B8" s="45">
        <v>78571</v>
      </c>
      <c r="C8" s="46">
        <v>168994</v>
      </c>
      <c r="D8" s="51">
        <v>0.41</v>
      </c>
      <c r="E8" s="46">
        <f>(C8-B8)*D8</f>
        <v>37073.43</v>
      </c>
      <c r="F8" s="47">
        <f>SUM(E6:E8)</f>
        <v>54237.729999999996</v>
      </c>
      <c r="G8" s="510"/>
      <c r="H8" s="510"/>
      <c r="I8" s="510"/>
      <c r="J8" s="506"/>
      <c r="M8" s="11">
        <v>4</v>
      </c>
    </row>
    <row r="9" spans="1:15" ht="15.45" customHeight="1" thickBot="1" x14ac:dyDescent="0.35">
      <c r="A9" s="503"/>
      <c r="B9" s="48"/>
      <c r="C9" s="49"/>
      <c r="D9" s="52">
        <f>0.45</f>
        <v>0.45</v>
      </c>
      <c r="E9" s="49"/>
      <c r="F9" s="50"/>
      <c r="G9" s="510"/>
      <c r="H9" s="496" t="s">
        <v>179</v>
      </c>
      <c r="I9" s="498"/>
      <c r="J9" s="41"/>
      <c r="M9" s="11">
        <v>5</v>
      </c>
    </row>
    <row r="10" spans="1:15" ht="15.45" customHeight="1" x14ac:dyDescent="0.3">
      <c r="A10" s="503"/>
      <c r="B10" s="512"/>
      <c r="C10" s="512"/>
      <c r="D10" s="512"/>
      <c r="E10" s="512"/>
      <c r="F10" s="512"/>
      <c r="G10" s="510"/>
      <c r="H10" s="69" t="s">
        <v>180</v>
      </c>
      <c r="I10" s="65">
        <f>IF(J3&gt;=C8, (J3-C8)*D9+E8+E7+E6, IF(J3&gt;=C7, (J3-C7)*D8+E7+E6, IF(J3&gt;=C6, (J3-C6)*D7+E6, IF(J3&gt;=C5, (J3-C5)*D6, 0))))</f>
        <v>17086.3</v>
      </c>
      <c r="J10" s="41"/>
      <c r="M10" s="11">
        <v>6</v>
      </c>
    </row>
    <row r="11" spans="1:15" ht="15.45" customHeight="1" x14ac:dyDescent="0.3">
      <c r="A11" s="503"/>
      <c r="B11" s="510"/>
      <c r="C11" s="510"/>
      <c r="D11" s="510"/>
      <c r="E11" s="510"/>
      <c r="F11" s="510"/>
      <c r="G11" s="510"/>
      <c r="H11" s="70" t="s">
        <v>181</v>
      </c>
      <c r="I11" s="66">
        <f>IF(J3&gt;=C28, (J3-C28)*D29+E28+E27+E26, IF(J3&gt;=C27, (J3-C27)*D28+E27+E26, IF(J3&gt;=C26, (J3-C26)*D27+E26, IF(J3&gt;=C25, (J3-C25)*D26, 0))))</f>
        <v>5057.58</v>
      </c>
      <c r="J11" s="41"/>
      <c r="M11" s="11">
        <v>7</v>
      </c>
    </row>
    <row r="12" spans="1:15" ht="15.45" customHeight="1" x14ac:dyDescent="0.3">
      <c r="A12" s="503"/>
      <c r="B12" s="510"/>
      <c r="C12" s="510"/>
      <c r="D12" s="510"/>
      <c r="E12" s="510"/>
      <c r="F12" s="510"/>
      <c r="G12" s="510"/>
      <c r="H12" s="70"/>
      <c r="I12" s="67"/>
      <c r="J12" s="41"/>
      <c r="M12" s="11">
        <v>8</v>
      </c>
    </row>
    <row r="13" spans="1:15" ht="15.45" customHeight="1" x14ac:dyDescent="0.3">
      <c r="A13" s="503"/>
      <c r="B13" s="510"/>
      <c r="C13" s="510"/>
      <c r="D13" s="510"/>
      <c r="E13" s="510"/>
      <c r="F13" s="510"/>
      <c r="G13" s="510"/>
      <c r="H13" s="70" t="s">
        <v>182</v>
      </c>
      <c r="I13" s="67">
        <f>IF('Impôt 2021 revenus 2020'!C5="Parent isolé (T)", 1,0)</f>
        <v>0</v>
      </c>
      <c r="J13" s="41"/>
      <c r="M13" s="11">
        <v>9</v>
      </c>
    </row>
    <row r="14" spans="1:15" ht="15.45" customHeight="1" x14ac:dyDescent="0.3">
      <c r="A14" s="503"/>
      <c r="B14" s="510"/>
      <c r="C14" s="510"/>
      <c r="D14" s="510"/>
      <c r="E14" s="510"/>
      <c r="F14" s="510"/>
      <c r="G14" s="510"/>
      <c r="H14" s="70" t="s">
        <v>183</v>
      </c>
      <c r="I14" s="67">
        <f>IF('Impôt 2021 revenus 2020'!C5="Enfant élevé seul (L)", 1, 0)</f>
        <v>0</v>
      </c>
      <c r="J14" s="41"/>
    </row>
    <row r="15" spans="1:15" ht="15.45" customHeight="1" thickBot="1" x14ac:dyDescent="0.35">
      <c r="A15" s="504"/>
      <c r="B15" s="511"/>
      <c r="C15" s="511"/>
      <c r="D15" s="511"/>
      <c r="E15" s="511"/>
      <c r="F15" s="511"/>
      <c r="G15" s="510"/>
      <c r="H15" s="70" t="s">
        <v>184</v>
      </c>
      <c r="I15" s="67">
        <f>IF('Impôt 2021 revenus 2020'!C5="Invalidité", 1,0)</f>
        <v>0</v>
      </c>
      <c r="J15" s="41"/>
    </row>
    <row r="16" spans="1:15" ht="16.2" customHeight="1" thickBot="1" x14ac:dyDescent="0.35">
      <c r="A16" s="513" t="s">
        <v>185</v>
      </c>
      <c r="B16" s="514"/>
      <c r="C16" s="514"/>
      <c r="D16" s="514"/>
      <c r="E16" s="514"/>
      <c r="F16" s="515"/>
      <c r="G16" s="510"/>
      <c r="H16" s="70" t="s">
        <v>186</v>
      </c>
      <c r="I16" s="67">
        <f>IF('Impôt 2021 revenus 2020'!C5=0, (J4-1)*2, (J4-1)*2-1)</f>
        <v>4</v>
      </c>
      <c r="J16" s="41"/>
    </row>
    <row r="17" spans="1:17" ht="15.45" customHeight="1" x14ac:dyDescent="0.3">
      <c r="A17" s="85">
        <v>1592</v>
      </c>
      <c r="B17" s="34" t="s">
        <v>187</v>
      </c>
      <c r="C17" s="34"/>
      <c r="D17" s="34"/>
      <c r="E17" s="34"/>
      <c r="F17" s="35"/>
      <c r="G17" s="510"/>
      <c r="H17" s="70" t="s">
        <v>188</v>
      </c>
      <c r="I17" s="66">
        <f>I10-A17*I16-I13*A19-I14*A18-I15*A20</f>
        <v>10718.3</v>
      </c>
      <c r="J17" s="41"/>
      <c r="O17" s="11" t="s">
        <v>189</v>
      </c>
      <c r="P17" s="11">
        <v>0</v>
      </c>
      <c r="Q17" s="11">
        <v>1</v>
      </c>
    </row>
    <row r="18" spans="1:17" ht="15.45" customHeight="1" x14ac:dyDescent="0.3">
      <c r="A18" s="86">
        <v>936</v>
      </c>
      <c r="B18" s="36" t="s">
        <v>190</v>
      </c>
      <c r="C18" s="36"/>
      <c r="D18" s="36"/>
      <c r="E18" s="36"/>
      <c r="F18" s="37"/>
      <c r="G18" s="510"/>
      <c r="H18" s="70"/>
      <c r="I18" s="67"/>
      <c r="J18" s="41"/>
      <c r="P18" s="11">
        <v>1</v>
      </c>
      <c r="Q18" s="11">
        <v>1.5</v>
      </c>
    </row>
    <row r="19" spans="1:17" ht="15.45" customHeight="1" x14ac:dyDescent="0.3">
      <c r="A19" s="86">
        <f>3697-1567</f>
        <v>2130</v>
      </c>
      <c r="B19" s="36" t="s">
        <v>191</v>
      </c>
      <c r="C19" s="36"/>
      <c r="D19" s="36"/>
      <c r="E19" s="36"/>
      <c r="F19" s="37"/>
      <c r="G19" s="510"/>
      <c r="H19" s="70"/>
      <c r="I19" s="67"/>
      <c r="J19" s="41"/>
      <c r="P19" s="11">
        <v>2</v>
      </c>
      <c r="Q19" s="11">
        <v>2</v>
      </c>
    </row>
    <row r="20" spans="1:17" ht="15.45" customHeight="1" x14ac:dyDescent="0.3">
      <c r="A20" s="86">
        <v>3129</v>
      </c>
      <c r="B20" s="36" t="s">
        <v>192</v>
      </c>
      <c r="C20" s="36"/>
      <c r="D20" s="36"/>
      <c r="E20" s="36"/>
      <c r="F20" s="37"/>
      <c r="G20" s="510"/>
      <c r="H20" s="70" t="s">
        <v>193</v>
      </c>
      <c r="I20" s="66">
        <f>IF(I11&gt;I17, I11, I17)</f>
        <v>10718.3</v>
      </c>
      <c r="J20" s="41"/>
      <c r="P20" s="11">
        <v>3</v>
      </c>
      <c r="Q20" s="11">
        <v>3</v>
      </c>
    </row>
    <row r="21" spans="1:17" ht="16.2" customHeight="1" thickBot="1" x14ac:dyDescent="0.35">
      <c r="A21" s="38"/>
      <c r="B21" s="39" t="s">
        <v>194</v>
      </c>
      <c r="C21" s="39"/>
      <c r="D21" s="39"/>
      <c r="E21" s="39"/>
      <c r="F21" s="40"/>
      <c r="G21" s="510"/>
      <c r="H21" s="70" t="s">
        <v>195</v>
      </c>
      <c r="I21" s="67">
        <f>IF(I20&lt;=1840, (833-I20*0.4525), 0)</f>
        <v>0</v>
      </c>
      <c r="J21" s="41"/>
      <c r="P21" s="11">
        <v>4</v>
      </c>
      <c r="Q21" s="11">
        <v>4</v>
      </c>
    </row>
    <row r="22" spans="1:17" ht="16.2" customHeight="1" thickBot="1" x14ac:dyDescent="0.35">
      <c r="A22" s="502"/>
      <c r="B22" s="512"/>
      <c r="C22" s="512"/>
      <c r="D22" s="512"/>
      <c r="E22" s="512"/>
      <c r="F22" s="512"/>
      <c r="G22" s="510"/>
      <c r="H22" s="71" t="s">
        <v>196</v>
      </c>
      <c r="I22" s="68">
        <f>IF(I21&gt;I20, 0, I20-I21)</f>
        <v>10718.3</v>
      </c>
      <c r="J22" s="41"/>
      <c r="P22" s="11">
        <v>5</v>
      </c>
      <c r="Q22" s="11">
        <v>5</v>
      </c>
    </row>
    <row r="23" spans="1:17" ht="16.2" customHeight="1" thickBot="1" x14ac:dyDescent="0.35">
      <c r="A23" s="509"/>
      <c r="B23" s="496" t="s">
        <v>197</v>
      </c>
      <c r="C23" s="497"/>
      <c r="D23" s="497"/>
      <c r="E23" s="497"/>
      <c r="F23" s="498"/>
      <c r="G23" s="510"/>
      <c r="H23" s="510"/>
      <c r="I23" s="510"/>
      <c r="J23" s="506"/>
      <c r="P23" s="11">
        <v>6</v>
      </c>
      <c r="Q23" s="11">
        <v>6</v>
      </c>
    </row>
    <row r="24" spans="1:17" ht="15.45" customHeight="1" x14ac:dyDescent="0.3">
      <c r="A24" s="509"/>
      <c r="B24" s="42"/>
      <c r="C24" s="43"/>
      <c r="D24" s="43"/>
      <c r="E24" s="43"/>
      <c r="F24" s="44"/>
      <c r="G24" s="510"/>
      <c r="H24" s="510"/>
      <c r="I24" s="510"/>
      <c r="J24" s="506"/>
      <c r="P24" s="11">
        <v>7</v>
      </c>
      <c r="Q24" s="11">
        <v>7</v>
      </c>
    </row>
    <row r="25" spans="1:17" ht="15.45" customHeight="1" x14ac:dyDescent="0.3">
      <c r="A25" s="509"/>
      <c r="B25" s="45">
        <v>0</v>
      </c>
      <c r="C25" s="46">
        <f>C5*$J$4</f>
        <v>32331</v>
      </c>
      <c r="D25" s="51">
        <f>0</f>
        <v>0</v>
      </c>
      <c r="E25" s="46">
        <f>0</f>
        <v>0</v>
      </c>
      <c r="F25" s="47"/>
      <c r="G25" s="510"/>
      <c r="H25" s="510"/>
      <c r="I25" s="510"/>
      <c r="J25" s="506"/>
      <c r="P25" s="11">
        <v>8</v>
      </c>
      <c r="Q25" s="11">
        <v>8</v>
      </c>
    </row>
    <row r="26" spans="1:17" ht="15.45" customHeight="1" x14ac:dyDescent="0.3">
      <c r="A26" s="509"/>
      <c r="B26" s="45">
        <f>B6*$J$4</f>
        <v>32334</v>
      </c>
      <c r="C26" s="46">
        <f>C6*$J$4</f>
        <v>82434</v>
      </c>
      <c r="D26" s="51">
        <v>0.11</v>
      </c>
      <c r="E26" s="46">
        <f>(C26-B26)*D26</f>
        <v>5511</v>
      </c>
      <c r="F26" s="47"/>
      <c r="G26" s="510"/>
      <c r="H26" s="510"/>
      <c r="I26" s="510"/>
      <c r="J26" s="506"/>
    </row>
    <row r="27" spans="1:17" ht="15.45" customHeight="1" x14ac:dyDescent="0.3">
      <c r="A27" s="509"/>
      <c r="B27" s="45">
        <f>B7*$J$4</f>
        <v>82437</v>
      </c>
      <c r="C27" s="46">
        <f>C7*$J$4</f>
        <v>235710</v>
      </c>
      <c r="D27" s="51">
        <f>0.3</f>
        <v>0.3</v>
      </c>
      <c r="E27" s="46">
        <f>(C27-B27)*D27</f>
        <v>45981.9</v>
      </c>
      <c r="F27" s="47">
        <f>E27+E26</f>
        <v>51492.9</v>
      </c>
      <c r="G27" s="510"/>
      <c r="H27" s="510"/>
      <c r="I27" s="510"/>
      <c r="J27" s="506"/>
      <c r="O27" s="11" t="s">
        <v>198</v>
      </c>
      <c r="P27" s="11">
        <v>0</v>
      </c>
      <c r="Q27" s="11">
        <v>2</v>
      </c>
    </row>
    <row r="28" spans="1:17" ht="15.45" customHeight="1" x14ac:dyDescent="0.3">
      <c r="A28" s="509"/>
      <c r="B28" s="45">
        <f>B8*$J$4</f>
        <v>235713</v>
      </c>
      <c r="C28" s="46">
        <f>C8*$J$4</f>
        <v>506982</v>
      </c>
      <c r="D28" s="51">
        <v>0.41</v>
      </c>
      <c r="E28" s="46">
        <f>(C28-B28)*D28</f>
        <v>111220.29</v>
      </c>
      <c r="F28" s="47">
        <f>SUM(E26:E28)</f>
        <v>162713.19</v>
      </c>
      <c r="G28" s="510"/>
      <c r="H28" s="510"/>
      <c r="I28" s="510"/>
      <c r="J28" s="506"/>
      <c r="P28" s="11">
        <v>1</v>
      </c>
      <c r="Q28" s="11">
        <v>2.5</v>
      </c>
    </row>
    <row r="29" spans="1:17" ht="16.2" customHeight="1" thickBot="1" x14ac:dyDescent="0.35">
      <c r="A29" s="517"/>
      <c r="B29" s="48"/>
      <c r="C29" s="49"/>
      <c r="D29" s="52">
        <f>0.45</f>
        <v>0.45</v>
      </c>
      <c r="E29" s="49"/>
      <c r="F29" s="50"/>
      <c r="G29" s="511"/>
      <c r="H29" s="511"/>
      <c r="I29" s="511"/>
      <c r="J29" s="507"/>
      <c r="P29" s="11">
        <v>2</v>
      </c>
      <c r="Q29" s="11">
        <v>3</v>
      </c>
    </row>
    <row r="30" spans="1:17" ht="15" thickBot="1" x14ac:dyDescent="0.35">
      <c r="A30" s="501"/>
      <c r="B30" s="501"/>
      <c r="C30" s="501"/>
      <c r="D30" s="501"/>
      <c r="E30" s="501"/>
      <c r="F30" s="501"/>
      <c r="G30" s="501"/>
      <c r="H30" s="501"/>
      <c r="I30" s="501"/>
      <c r="J30" s="501"/>
      <c r="P30" s="11">
        <v>3</v>
      </c>
      <c r="Q30" s="11">
        <v>4</v>
      </c>
    </row>
    <row r="31" spans="1:17" ht="15" thickBot="1" x14ac:dyDescent="0.35">
      <c r="A31" s="493" t="s">
        <v>199</v>
      </c>
      <c r="B31" s="499"/>
      <c r="C31" s="499"/>
      <c r="D31" s="499"/>
      <c r="E31" s="499"/>
      <c r="F31" s="499"/>
      <c r="G31" s="494"/>
      <c r="H31" s="494"/>
      <c r="I31" s="494"/>
      <c r="J31" s="495"/>
      <c r="P31" s="11">
        <v>4</v>
      </c>
      <c r="Q31" s="11">
        <v>5</v>
      </c>
    </row>
    <row r="32" spans="1:17" ht="16.2" customHeight="1" thickBot="1" x14ac:dyDescent="0.35">
      <c r="A32" s="502"/>
      <c r="B32" s="496"/>
      <c r="C32" s="497"/>
      <c r="D32" s="500"/>
      <c r="E32" s="53" t="s">
        <v>200</v>
      </c>
      <c r="F32" s="54" t="s">
        <v>201</v>
      </c>
      <c r="G32" s="508"/>
      <c r="H32" s="496" t="s">
        <v>179</v>
      </c>
      <c r="I32" s="498"/>
      <c r="J32" s="505"/>
      <c r="P32" s="11">
        <v>5</v>
      </c>
      <c r="Q32" s="11">
        <v>6</v>
      </c>
    </row>
    <row r="33" spans="1:19" ht="15.45" customHeight="1" x14ac:dyDescent="0.3">
      <c r="A33" s="503"/>
      <c r="B33" s="55">
        <f>B5*2</f>
        <v>0</v>
      </c>
      <c r="C33" s="56">
        <f>C5*2</f>
        <v>21554</v>
      </c>
      <c r="D33" s="58">
        <v>0</v>
      </c>
      <c r="E33" s="56">
        <v>0</v>
      </c>
      <c r="F33" s="57"/>
      <c r="G33" s="509"/>
      <c r="H33" s="72" t="s">
        <v>202</v>
      </c>
      <c r="I33" s="75">
        <f>IF(J3&gt;=C37, (J3-C37)*D38+E37+E36+E34, IF(J3&gt;=C36, (J3-C36)*D37+E36+E34, IF(J3&gt;=C34, (J3-C34)*D36+E34, IF(J3&gt;=C33, (J3-C33)*D34, 0))))</f>
        <v>10679.9</v>
      </c>
      <c r="J33" s="506"/>
      <c r="P33" s="11">
        <v>6</v>
      </c>
      <c r="Q33" s="11">
        <v>7</v>
      </c>
    </row>
    <row r="34" spans="1:19" ht="15.45" customHeight="1" x14ac:dyDescent="0.3">
      <c r="A34" s="503"/>
      <c r="B34" s="45">
        <f t="shared" ref="B34:C34" si="0">B6*2</f>
        <v>21556</v>
      </c>
      <c r="C34" s="46">
        <f t="shared" si="0"/>
        <v>54956</v>
      </c>
      <c r="D34" s="51">
        <v>0.11</v>
      </c>
      <c r="E34" s="46">
        <f>(C34-B34)*D34</f>
        <v>3674</v>
      </c>
      <c r="F34" s="47"/>
      <c r="G34" s="509"/>
      <c r="H34" s="73" t="s">
        <v>181</v>
      </c>
      <c r="I34" s="76">
        <f>IF(J3&gt;=C28, (J3-C28)*D29+E28+E27+E26, IF(J3&gt;=C27, (J3-C27)*D28+E27+E26, IF(J3&gt;=C26, (J3-C26)*D27+E26, IF(J3&gt;=C25, (J3-C25)*D26, 0))))</f>
        <v>5057.58</v>
      </c>
      <c r="J34" s="506"/>
      <c r="P34" s="11">
        <v>7</v>
      </c>
      <c r="Q34" s="11">
        <v>8</v>
      </c>
    </row>
    <row r="35" spans="1:19" ht="15.45" customHeight="1" x14ac:dyDescent="0.3">
      <c r="A35" s="503"/>
      <c r="B35" s="45"/>
      <c r="C35" s="46"/>
      <c r="D35" s="51"/>
      <c r="E35" s="46"/>
      <c r="F35" s="47"/>
      <c r="G35" s="509"/>
      <c r="H35" s="73" t="s">
        <v>203</v>
      </c>
      <c r="I35" s="77">
        <f>IF('Impôt 2021 revenus 2020'!C5="Invalidité", 1,0)</f>
        <v>0</v>
      </c>
      <c r="J35" s="506"/>
      <c r="P35" s="11">
        <v>8</v>
      </c>
      <c r="Q35" s="11">
        <v>9</v>
      </c>
    </row>
    <row r="36" spans="1:19" ht="15.45" customHeight="1" x14ac:dyDescent="0.3">
      <c r="A36" s="503"/>
      <c r="B36" s="45">
        <f>B7*2</f>
        <v>54958</v>
      </c>
      <c r="C36" s="46">
        <f>C7*2</f>
        <v>157140</v>
      </c>
      <c r="D36" s="51">
        <v>0.3</v>
      </c>
      <c r="E36" s="46">
        <f>(C36-B36)*D36</f>
        <v>30654.6</v>
      </c>
      <c r="F36" s="47">
        <f>E34+E36</f>
        <v>34328.6</v>
      </c>
      <c r="G36" s="509"/>
      <c r="H36" s="73" t="s">
        <v>204</v>
      </c>
      <c r="I36" s="77">
        <f>MAX(0,IF('Impôt 2021 revenus 2020'!C5=0, (J4-2)*2, (J4-2)*2-1))</f>
        <v>2</v>
      </c>
      <c r="J36" s="506"/>
      <c r="O36" s="11">
        <f>IF(OR('Impôt 2021 revenus 2020'!C3="Célibataire",'Impôt 2021 revenus 2020'!C3="Concubinage",'Impôt 2021 revenus 2020'!C3="Divorcé",'Impôt 2021 revenus 2020'!C3="Veuf"), VLOOKUP('Impôt 2021 revenus 2020'!C4,P17:Q25, 2, FALSE) - IF('Etat Civil'!C22="Alternée",IF('Etat Civil'!C34=1,0.25,IF('Etat Civil'!C34=2,0.5,IF('Etat Civil'!C34=3,1,IF('Etat Civil'!C34=4,1.5,2)))),0), VLOOKUP('Impôt 2021 revenus 2020'!C4,P27:Q35, 2, FALSE) - IF('Etat Civil'!C22="Alternée",IF('Etat Civil'!C34=1,0.25,IF('Etat Civil'!C34=2,0.5,IF('Etat Civil'!C34=3,1,IF('Etat Civil'!C34=4,1.5,2)))),0))</f>
        <v>3</v>
      </c>
    </row>
    <row r="37" spans="1:19" ht="15.45" customHeight="1" x14ac:dyDescent="0.3">
      <c r="A37" s="503"/>
      <c r="B37" s="45">
        <f>B8*2</f>
        <v>157142</v>
      </c>
      <c r="C37" s="46">
        <f>C8*2</f>
        <v>337988</v>
      </c>
      <c r="D37" s="51">
        <v>0.41</v>
      </c>
      <c r="E37" s="46">
        <f>(C37-B37)*D37</f>
        <v>74146.86</v>
      </c>
      <c r="F37" s="47">
        <f>E34+E36+E37</f>
        <v>108475.45999999999</v>
      </c>
      <c r="G37" s="509"/>
      <c r="H37" s="73" t="s">
        <v>188</v>
      </c>
      <c r="I37" s="76">
        <f>I33-A17*I36-I35*A20</f>
        <v>7495.9</v>
      </c>
      <c r="J37" s="506"/>
    </row>
    <row r="38" spans="1:19" ht="16.2" customHeight="1" thickBot="1" x14ac:dyDescent="0.35">
      <c r="A38" s="503"/>
      <c r="B38" s="48"/>
      <c r="C38" s="49"/>
      <c r="D38" s="52">
        <v>0.45</v>
      </c>
      <c r="E38" s="49"/>
      <c r="F38" s="50"/>
      <c r="G38" s="509"/>
      <c r="H38" s="73"/>
      <c r="I38" s="77"/>
      <c r="J38" s="506"/>
    </row>
    <row r="39" spans="1:19" ht="15.45" customHeight="1" x14ac:dyDescent="0.3">
      <c r="A39" s="503"/>
      <c r="B39" s="510"/>
      <c r="C39" s="510"/>
      <c r="D39" s="510"/>
      <c r="E39" s="510"/>
      <c r="F39" s="510"/>
      <c r="G39" s="510"/>
      <c r="H39" s="73" t="s">
        <v>193</v>
      </c>
      <c r="I39" s="76">
        <f>IF(I34&gt;I37, I34, I37)</f>
        <v>7495.9</v>
      </c>
      <c r="J39" s="506"/>
    </row>
    <row r="40" spans="1:19" ht="15.45" customHeight="1" x14ac:dyDescent="0.3">
      <c r="A40" s="503"/>
      <c r="B40" s="510"/>
      <c r="C40" s="510"/>
      <c r="D40" s="510"/>
      <c r="E40" s="510"/>
      <c r="F40" s="510"/>
      <c r="G40" s="510"/>
      <c r="H40" s="73" t="s">
        <v>195</v>
      </c>
      <c r="I40" s="78">
        <f>IF(I39&lt;=3045, 1378-I39*0.4525, 0)</f>
        <v>0</v>
      </c>
      <c r="J40" s="506"/>
      <c r="O40" s="11">
        <f>1196*1.01</f>
        <v>1207.96</v>
      </c>
    </row>
    <row r="41" spans="1:19" ht="16.2" customHeight="1" thickBot="1" x14ac:dyDescent="0.35">
      <c r="A41" s="503"/>
      <c r="B41" s="510"/>
      <c r="C41" s="510"/>
      <c r="D41" s="510"/>
      <c r="E41" s="510"/>
      <c r="F41" s="510"/>
      <c r="G41" s="510"/>
      <c r="H41" s="74" t="s">
        <v>196</v>
      </c>
      <c r="I41" s="79">
        <f>IF(I40&gt;I39, 0, I39-I40)</f>
        <v>7495.9</v>
      </c>
      <c r="J41" s="506"/>
      <c r="O41" s="11">
        <f>1970*(1+O42)</f>
        <v>1989.7</v>
      </c>
      <c r="R41" s="11">
        <f>1208-0.75*1000</f>
        <v>458</v>
      </c>
      <c r="S41" s="11">
        <v>1611</v>
      </c>
    </row>
    <row r="42" spans="1:19" ht="16.2" customHeight="1" thickBot="1" x14ac:dyDescent="0.35">
      <c r="A42" s="504"/>
      <c r="B42" s="511"/>
      <c r="C42" s="511"/>
      <c r="D42" s="511"/>
      <c r="E42" s="511"/>
      <c r="F42" s="511"/>
      <c r="G42" s="511"/>
      <c r="H42" s="501"/>
      <c r="I42" s="501"/>
      <c r="J42" s="507"/>
      <c r="O42" s="11">
        <v>0.01</v>
      </c>
      <c r="S42" s="11">
        <v>2653</v>
      </c>
    </row>
  </sheetData>
  <sheetProtection algorithmName="SHA-512" hashValue="s+38XRiaYOduwFjYArs/3jH9PZ8LOUT2oJ0jO0dnbWWUraQtnRa9+KM+SRvLWIXVkuXVTXR4qjUUvy+okN01FQ==" saltValue="wM88K8rH+CaWPQU2TF8ecw==" spinCount="100000" sheet="1" objects="1" scenarios="1" selectLockedCells="1" selectUnlockedCells="1"/>
  <mergeCells count="23">
    <mergeCell ref="H9:I9"/>
    <mergeCell ref="A23:A29"/>
    <mergeCell ref="A22:F22"/>
    <mergeCell ref="H23:J29"/>
    <mergeCell ref="H5:J8"/>
    <mergeCell ref="B10:F15"/>
    <mergeCell ref="A3:A15"/>
    <mergeCell ref="A1:J1"/>
    <mergeCell ref="B3:F3"/>
    <mergeCell ref="B23:F23"/>
    <mergeCell ref="A31:J31"/>
    <mergeCell ref="B32:D32"/>
    <mergeCell ref="H32:I32"/>
    <mergeCell ref="A30:J30"/>
    <mergeCell ref="A32:A42"/>
    <mergeCell ref="J32:J42"/>
    <mergeCell ref="H42:I42"/>
    <mergeCell ref="G32:G38"/>
    <mergeCell ref="B39:G42"/>
    <mergeCell ref="G2:G29"/>
    <mergeCell ref="A16:F16"/>
    <mergeCell ref="H2:J2"/>
    <mergeCell ref="A2:F2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216EC-EF0F-455C-B9D1-21D4BC82D2A3}">
  <sheetPr codeName="Feuil13"/>
  <dimension ref="A1:AC19"/>
  <sheetViews>
    <sheetView workbookViewId="0">
      <selection activeCell="H27" sqref="H27"/>
    </sheetView>
  </sheetViews>
  <sheetFormatPr baseColWidth="10" defaultColWidth="10.19921875" defaultRowHeight="14.4" x14ac:dyDescent="0.3"/>
  <cols>
    <col min="1" max="1" width="10.19921875" style="12"/>
    <col min="2" max="2" width="20.19921875" style="12" customWidth="1"/>
    <col min="3" max="3" width="26.19921875" style="12" customWidth="1"/>
    <col min="4" max="4" width="18.19921875" style="12" customWidth="1"/>
    <col min="5" max="16384" width="10.19921875" style="12"/>
  </cols>
  <sheetData>
    <row r="1" spans="1:29" ht="28.8" x14ac:dyDescent="0.55000000000000004">
      <c r="A1" s="518" t="s">
        <v>205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20"/>
      <c r="O1" s="521" t="s">
        <v>206</v>
      </c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2"/>
      <c r="AA1" s="522"/>
      <c r="AB1" s="522"/>
      <c r="AC1" s="522"/>
    </row>
    <row r="2" spans="1:29" ht="15.6" x14ac:dyDescent="0.3">
      <c r="A2" s="13"/>
      <c r="K2" s="524" t="s">
        <v>207</v>
      </c>
      <c r="L2" s="524"/>
      <c r="M2" s="524"/>
      <c r="N2" s="525"/>
      <c r="O2" s="523"/>
      <c r="P2" s="522"/>
      <c r="Q2" s="522"/>
      <c r="R2" s="522"/>
      <c r="S2" s="522"/>
      <c r="T2" s="522"/>
      <c r="U2" s="522"/>
      <c r="V2" s="522"/>
      <c r="W2" s="522"/>
      <c r="X2" s="522"/>
      <c r="Y2" s="522"/>
      <c r="Z2" s="522"/>
      <c r="AA2" s="522"/>
      <c r="AB2" s="522"/>
      <c r="AC2" s="522"/>
    </row>
    <row r="3" spans="1:29" ht="28.5" customHeight="1" x14ac:dyDescent="0.3">
      <c r="A3" s="14" t="s">
        <v>208</v>
      </c>
      <c r="B3" s="15"/>
      <c r="C3" s="16" t="str">
        <f>'Etat Civil'!C19</f>
        <v>Pacsé</v>
      </c>
      <c r="N3" s="17"/>
      <c r="O3" s="523"/>
      <c r="P3" s="522"/>
      <c r="Q3" s="522"/>
      <c r="R3" s="522"/>
      <c r="S3" s="522"/>
      <c r="T3" s="522"/>
      <c r="U3" s="522"/>
      <c r="V3" s="522"/>
      <c r="W3" s="522"/>
      <c r="X3" s="522"/>
      <c r="Y3" s="522"/>
      <c r="Z3" s="522"/>
      <c r="AA3" s="522"/>
      <c r="AB3" s="522"/>
      <c r="AC3" s="522"/>
    </row>
    <row r="4" spans="1:29" ht="28.5" customHeight="1" x14ac:dyDescent="0.3">
      <c r="A4" s="14" t="s">
        <v>209</v>
      </c>
      <c r="B4" s="15"/>
      <c r="C4" s="16">
        <f>'Etat Civil'!C34</f>
        <v>2</v>
      </c>
      <c r="N4" s="17"/>
      <c r="O4" s="523"/>
      <c r="P4" s="522"/>
      <c r="Q4" s="522"/>
      <c r="R4" s="522"/>
      <c r="S4" s="522"/>
      <c r="T4" s="522"/>
      <c r="U4" s="522"/>
      <c r="V4" s="522"/>
      <c r="W4" s="522"/>
      <c r="X4" s="522"/>
      <c r="Y4" s="522"/>
      <c r="Z4" s="522"/>
      <c r="AA4" s="522"/>
      <c r="AB4" s="522"/>
      <c r="AC4" s="522"/>
    </row>
    <row r="5" spans="1:29" ht="28.5" customHeight="1" x14ac:dyDescent="0.3">
      <c r="A5" s="14" t="s">
        <v>35</v>
      </c>
      <c r="B5" s="15"/>
      <c r="C5" s="18">
        <f>'Etat Civil'!C21</f>
        <v>0</v>
      </c>
      <c r="D5" s="526" t="s">
        <v>210</v>
      </c>
      <c r="E5" s="526"/>
      <c r="F5" s="526"/>
      <c r="G5" s="526"/>
      <c r="H5" s="526"/>
      <c r="I5" s="526"/>
      <c r="J5" s="526"/>
      <c r="K5" s="526"/>
      <c r="L5" s="526"/>
      <c r="M5" s="526"/>
      <c r="N5" s="526"/>
      <c r="O5" s="523"/>
      <c r="P5" s="522"/>
      <c r="Q5" s="522"/>
      <c r="R5" s="522"/>
      <c r="S5" s="522"/>
      <c r="T5" s="522"/>
      <c r="U5" s="522"/>
      <c r="V5" s="522"/>
      <c r="W5" s="522"/>
      <c r="X5" s="522"/>
      <c r="Y5" s="522"/>
      <c r="Z5" s="522"/>
      <c r="AA5" s="522"/>
      <c r="AB5" s="522"/>
      <c r="AC5" s="522"/>
    </row>
    <row r="6" spans="1:29" ht="28.5" customHeight="1" x14ac:dyDescent="0.3">
      <c r="A6" s="14"/>
      <c r="B6" s="15"/>
      <c r="C6" s="19"/>
      <c r="N6" s="17"/>
      <c r="O6" s="523"/>
      <c r="P6" s="522"/>
      <c r="Q6" s="522"/>
      <c r="R6" s="522"/>
      <c r="S6" s="522"/>
      <c r="T6" s="522"/>
      <c r="U6" s="522"/>
      <c r="V6" s="522"/>
      <c r="W6" s="522"/>
      <c r="X6" s="522"/>
      <c r="Y6" s="522"/>
      <c r="Z6" s="522"/>
      <c r="AA6" s="522"/>
      <c r="AB6" s="522"/>
      <c r="AC6" s="522"/>
    </row>
    <row r="7" spans="1:29" ht="28.5" hidden="1" customHeight="1" x14ac:dyDescent="0.3">
      <c r="A7" s="14"/>
      <c r="B7" s="15"/>
      <c r="C7" s="19"/>
      <c r="N7" s="17"/>
      <c r="O7" s="523"/>
      <c r="P7" s="522"/>
      <c r="Q7" s="522"/>
      <c r="R7" s="522"/>
      <c r="S7" s="522"/>
      <c r="T7" s="522"/>
      <c r="U7" s="522"/>
      <c r="V7" s="522"/>
      <c r="W7" s="522"/>
      <c r="X7" s="522"/>
      <c r="Y7" s="522"/>
      <c r="Z7" s="522"/>
      <c r="AA7" s="522"/>
      <c r="AB7" s="522"/>
      <c r="AC7" s="522"/>
    </row>
    <row r="8" spans="1:29" ht="28.5" customHeight="1" x14ac:dyDescent="0.3">
      <c r="A8" s="14" t="s">
        <v>211</v>
      </c>
      <c r="B8" s="15"/>
      <c r="C8" s="109">
        <f>'Calcul IR 2'!J3</f>
        <v>78309</v>
      </c>
      <c r="D8" s="527" t="s">
        <v>212</v>
      </c>
      <c r="E8" s="527"/>
      <c r="F8" s="527"/>
      <c r="G8" s="527"/>
      <c r="H8" s="527"/>
      <c r="I8" s="527"/>
      <c r="J8" s="527"/>
      <c r="K8" s="527"/>
      <c r="L8" s="527"/>
      <c r="M8" s="527"/>
      <c r="N8" s="527"/>
      <c r="O8" s="523"/>
      <c r="P8" s="522"/>
      <c r="Q8" s="522"/>
      <c r="R8" s="522"/>
      <c r="S8" s="522"/>
      <c r="T8" s="522"/>
      <c r="U8" s="522"/>
      <c r="V8" s="522"/>
      <c r="W8" s="522"/>
      <c r="X8" s="522"/>
      <c r="Y8" s="522"/>
      <c r="Z8" s="522"/>
      <c r="AA8" s="522"/>
      <c r="AB8" s="522"/>
      <c r="AC8" s="522"/>
    </row>
    <row r="9" spans="1:29" ht="28.5" customHeight="1" x14ac:dyDescent="0.3">
      <c r="A9" s="20"/>
      <c r="B9" s="15"/>
      <c r="C9" s="21"/>
      <c r="N9" s="17"/>
      <c r="O9" s="523"/>
      <c r="P9" s="522"/>
      <c r="Q9" s="522"/>
      <c r="R9" s="522"/>
      <c r="S9" s="522"/>
      <c r="T9" s="522"/>
      <c r="U9" s="522"/>
      <c r="V9" s="522"/>
      <c r="W9" s="522"/>
      <c r="X9" s="522"/>
      <c r="Y9" s="522"/>
      <c r="Z9" s="522"/>
      <c r="AA9" s="522"/>
      <c r="AB9" s="522"/>
      <c r="AC9" s="522"/>
    </row>
    <row r="10" spans="1:29" ht="28.5" customHeight="1" x14ac:dyDescent="0.3">
      <c r="A10" s="22" t="s">
        <v>213</v>
      </c>
      <c r="B10" s="23"/>
      <c r="C10" s="24">
        <f>IF(C5=0,'Calcul IR 2'!O36,'Calcul IR 2'!O36+0.5)</f>
        <v>3</v>
      </c>
      <c r="N10" s="17"/>
      <c r="O10" s="523"/>
      <c r="P10" s="522"/>
      <c r="Q10" s="522"/>
      <c r="R10" s="522"/>
      <c r="S10" s="522"/>
      <c r="T10" s="522"/>
      <c r="U10" s="522"/>
      <c r="V10" s="522"/>
      <c r="W10" s="522"/>
      <c r="X10" s="522"/>
      <c r="Y10" s="522"/>
      <c r="Z10" s="522"/>
      <c r="AA10" s="522"/>
      <c r="AB10" s="522"/>
      <c r="AC10" s="522"/>
    </row>
    <row r="11" spans="1:29" ht="28.5" customHeight="1" x14ac:dyDescent="0.3">
      <c r="A11" s="20"/>
      <c r="B11" s="15"/>
      <c r="C11" s="21"/>
      <c r="N11" s="17"/>
      <c r="O11" s="523"/>
      <c r="P11" s="522"/>
      <c r="Q11" s="522"/>
      <c r="R11" s="522"/>
      <c r="S11" s="522"/>
      <c r="T11" s="522"/>
      <c r="U11" s="522"/>
      <c r="V11" s="522"/>
      <c r="W11" s="522"/>
      <c r="X11" s="522"/>
      <c r="Y11" s="522"/>
      <c r="Z11" s="522"/>
      <c r="AA11" s="522"/>
      <c r="AB11" s="522"/>
      <c r="AC11" s="522"/>
    </row>
    <row r="12" spans="1:29" ht="28.5" customHeight="1" x14ac:dyDescent="0.3">
      <c r="A12" s="25" t="s">
        <v>214</v>
      </c>
      <c r="B12" s="26"/>
      <c r="C12" s="98">
        <f>IF(OR(C3="Célibataire",C3="Divorcé",C3="Veuf",C3="Concubinage"),'Calcul IR 2'!I20,'Calcul IR 2'!I39)</f>
        <v>7495.9</v>
      </c>
      <c r="N12" s="17"/>
      <c r="O12" s="523"/>
      <c r="P12" s="522"/>
      <c r="Q12" s="522"/>
      <c r="R12" s="522"/>
      <c r="S12" s="522"/>
      <c r="T12" s="522"/>
      <c r="U12" s="522"/>
      <c r="V12" s="522"/>
      <c r="W12" s="522"/>
      <c r="X12" s="522"/>
      <c r="Y12" s="522"/>
      <c r="Z12" s="522"/>
      <c r="AA12" s="522"/>
      <c r="AB12" s="522"/>
      <c r="AC12" s="522"/>
    </row>
    <row r="13" spans="1:29" ht="28.5" customHeight="1" x14ac:dyDescent="0.3">
      <c r="A13" s="25" t="s">
        <v>195</v>
      </c>
      <c r="B13" s="26"/>
      <c r="C13" s="33">
        <f>IF(OR(C3="Célibataire",C3="Divorcé",C3="Veuf",C3="Concubinage"),'Calcul IR 2'!I21, 'Calcul IR 2'!I40)</f>
        <v>0</v>
      </c>
      <c r="D13" s="528" t="s">
        <v>215</v>
      </c>
      <c r="E13" s="528"/>
      <c r="F13" s="528"/>
      <c r="G13" s="528"/>
      <c r="H13" s="528"/>
      <c r="I13" s="528"/>
      <c r="J13" s="528"/>
      <c r="K13" s="528"/>
      <c r="L13" s="528"/>
      <c r="M13" s="528"/>
      <c r="N13" s="529"/>
      <c r="O13" s="523"/>
      <c r="P13" s="522"/>
      <c r="Q13" s="522"/>
      <c r="R13" s="522"/>
      <c r="S13" s="522"/>
      <c r="T13" s="522"/>
      <c r="U13" s="522"/>
      <c r="V13" s="522"/>
      <c r="W13" s="522"/>
      <c r="X13" s="522"/>
      <c r="Y13" s="522"/>
      <c r="Z13" s="522"/>
      <c r="AA13" s="522"/>
      <c r="AB13" s="522"/>
      <c r="AC13" s="522"/>
    </row>
    <row r="14" spans="1:29" ht="34.5" customHeight="1" x14ac:dyDescent="0.3">
      <c r="A14" s="27" t="s">
        <v>54</v>
      </c>
      <c r="B14" s="28"/>
      <c r="C14" s="29">
        <f>IF(OR(C3="Célibataire",C3="Divorcé",C3="Veuf",C3="Concubinage"),'Calcul IR 2'!I22, 'Calcul IR 2'!I41)</f>
        <v>7495.9</v>
      </c>
      <c r="D14" s="97">
        <f>IF((C14-'Etat Civil'!G33)&lt;=0,0-'Etat Civil'!G34,C14-'Etat Civil'!G33-'Etat Civil'!G34)</f>
        <v>7495.9</v>
      </c>
      <c r="N14" s="17"/>
      <c r="O14" s="523"/>
      <c r="P14" s="522"/>
      <c r="Q14" s="522"/>
      <c r="R14" s="522"/>
      <c r="S14" s="522"/>
      <c r="T14" s="522"/>
      <c r="U14" s="522"/>
      <c r="V14" s="522"/>
      <c r="W14" s="522"/>
      <c r="X14" s="522"/>
      <c r="Y14" s="522"/>
      <c r="Z14" s="522"/>
      <c r="AA14" s="522"/>
      <c r="AB14" s="522"/>
      <c r="AC14" s="522"/>
    </row>
    <row r="15" spans="1:29" x14ac:dyDescent="0.3">
      <c r="A15" s="530" t="s">
        <v>216</v>
      </c>
      <c r="B15" s="531"/>
      <c r="C15" s="531"/>
      <c r="D15" s="531"/>
      <c r="E15" s="531"/>
      <c r="F15" s="531"/>
      <c r="G15" s="531"/>
      <c r="H15" s="531"/>
      <c r="I15" s="531"/>
      <c r="J15" s="531"/>
      <c r="K15" s="531"/>
      <c r="L15" s="531"/>
      <c r="M15" s="531"/>
      <c r="N15" s="532"/>
      <c r="O15" s="523"/>
      <c r="P15" s="522"/>
      <c r="Q15" s="522"/>
      <c r="R15" s="522"/>
      <c r="S15" s="522"/>
      <c r="T15" s="522"/>
      <c r="U15" s="522"/>
      <c r="V15" s="522"/>
      <c r="W15" s="522"/>
      <c r="X15" s="522"/>
      <c r="Y15" s="522"/>
      <c r="Z15" s="522"/>
      <c r="AA15" s="522"/>
      <c r="AB15" s="522"/>
      <c r="AC15" s="522"/>
    </row>
    <row r="16" spans="1:29" x14ac:dyDescent="0.3">
      <c r="A16" s="13"/>
      <c r="N16" s="17"/>
      <c r="O16" s="523"/>
      <c r="P16" s="522"/>
      <c r="Q16" s="522"/>
      <c r="R16" s="522"/>
      <c r="S16" s="522"/>
      <c r="T16" s="522"/>
      <c r="U16" s="522"/>
      <c r="V16" s="522"/>
      <c r="W16" s="522"/>
      <c r="X16" s="522"/>
      <c r="Y16" s="522"/>
      <c r="Z16" s="522"/>
      <c r="AA16" s="522"/>
      <c r="AB16" s="522"/>
      <c r="AC16" s="522"/>
    </row>
    <row r="17" spans="1:29" hidden="1" x14ac:dyDescent="0.3">
      <c r="A17" s="13"/>
      <c r="N17" s="17"/>
      <c r="O17" s="523"/>
      <c r="P17" s="522"/>
      <c r="Q17" s="522"/>
      <c r="R17" s="522"/>
      <c r="S17" s="522"/>
      <c r="T17" s="522"/>
      <c r="U17" s="522"/>
      <c r="V17" s="522"/>
      <c r="W17" s="522"/>
      <c r="X17" s="522"/>
      <c r="Y17" s="522"/>
      <c r="Z17" s="522"/>
      <c r="AA17" s="522"/>
      <c r="AB17" s="522"/>
      <c r="AC17" s="522"/>
    </row>
    <row r="18" spans="1:29" ht="15" hidden="1" customHeight="1" x14ac:dyDescent="0.3">
      <c r="A18" s="13"/>
      <c r="N18" s="17"/>
      <c r="O18" s="523"/>
      <c r="P18" s="522"/>
      <c r="Q18" s="522"/>
      <c r="R18" s="522"/>
      <c r="S18" s="522"/>
      <c r="T18" s="522"/>
      <c r="U18" s="522"/>
      <c r="V18" s="522"/>
      <c r="W18" s="522"/>
      <c r="X18" s="522"/>
      <c r="Y18" s="522"/>
      <c r="Z18" s="522"/>
      <c r="AA18" s="522"/>
      <c r="AB18" s="522"/>
      <c r="AC18" s="522"/>
    </row>
    <row r="19" spans="1:29" ht="15" thickBot="1" x14ac:dyDescent="0.35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2"/>
      <c r="O19" s="523"/>
      <c r="P19" s="522"/>
      <c r="Q19" s="522"/>
      <c r="R19" s="522"/>
      <c r="S19" s="522"/>
      <c r="T19" s="522"/>
      <c r="U19" s="522"/>
      <c r="V19" s="522"/>
      <c r="W19" s="522"/>
      <c r="X19" s="522"/>
      <c r="Y19" s="522"/>
      <c r="Z19" s="522"/>
      <c r="AA19" s="522"/>
      <c r="AB19" s="522"/>
      <c r="AC19" s="522"/>
    </row>
  </sheetData>
  <sheetProtection algorithmName="SHA-512" hashValue="IHeyj+TJcOnKUTyQtIP7cRAmRjXPfmaO4cVo+aDUS3ynn3ttcE7f9NKaJASV0nQFGNGb1dX5P/BYWGQWKK6wuw==" saltValue="67qjARB3cTZE3/rYidXpyQ==" spinCount="100000" sheet="1" objects="1" scenarios="1" selectLockedCells="1" selectUnlockedCells="1"/>
  <mergeCells count="7">
    <mergeCell ref="A1:N1"/>
    <mergeCell ref="O1:AC19"/>
    <mergeCell ref="K2:N2"/>
    <mergeCell ref="D5:N5"/>
    <mergeCell ref="D8:N8"/>
    <mergeCell ref="D13:N13"/>
    <mergeCell ref="A15:N15"/>
  </mergeCells>
  <hyperlinks>
    <hyperlink ref="O1" r:id="rId1" xr:uid="{254D47A2-73D5-4FCF-A727-3CBB4FD634C5}"/>
  </hyperlinks>
  <pageMargins left="0.7" right="0.7" top="0.75" bottom="0.75" header="0.3" footer="0.3"/>
  <pageSetup paperSize="9" orientation="portrait" horizontalDpi="0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50596-659F-427F-9B2A-B5C41758CC61}">
  <sheetPr codeName="Feuil14"/>
  <dimension ref="A1:S41"/>
  <sheetViews>
    <sheetView zoomScale="85" zoomScaleNormal="85" workbookViewId="0">
      <selection activeCell="H27" sqref="H27"/>
    </sheetView>
  </sheetViews>
  <sheetFormatPr baseColWidth="10" defaultColWidth="10.19921875" defaultRowHeight="14.4" x14ac:dyDescent="0.3"/>
  <cols>
    <col min="1" max="1" width="10.19921875" style="11"/>
    <col min="2" max="2" width="11.69921875" style="11" bestFit="1" customWidth="1"/>
    <col min="3" max="3" width="12" style="11" bestFit="1" customWidth="1"/>
    <col min="4" max="4" width="10.19921875" style="11"/>
    <col min="5" max="5" width="11" style="11" bestFit="1" customWidth="1"/>
    <col min="6" max="6" width="11.69921875" style="11" bestFit="1" customWidth="1"/>
    <col min="7" max="7" width="4.69921875" style="11" customWidth="1"/>
    <col min="8" max="8" width="26" style="11" customWidth="1"/>
    <col min="9" max="9" width="10.69921875" style="11" bestFit="1" customWidth="1"/>
    <col min="10" max="10" width="11.69921875" style="11" bestFit="1" customWidth="1"/>
    <col min="11" max="14" width="10.19921875" style="11"/>
    <col min="15" max="15" width="24.19921875" style="11" customWidth="1"/>
    <col min="16" max="16384" width="10.19921875" style="11"/>
  </cols>
  <sheetData>
    <row r="1" spans="1:15" ht="15" thickBot="1" x14ac:dyDescent="0.35">
      <c r="A1" s="493" t="s">
        <v>217</v>
      </c>
      <c r="B1" s="494"/>
      <c r="C1" s="494"/>
      <c r="D1" s="494"/>
      <c r="E1" s="494"/>
      <c r="F1" s="494"/>
      <c r="G1" s="494"/>
      <c r="H1" s="494"/>
      <c r="I1" s="494"/>
      <c r="J1" s="495"/>
    </row>
    <row r="2" spans="1:15" ht="15" thickBot="1" x14ac:dyDescent="0.35">
      <c r="A2" s="502"/>
      <c r="B2" s="512"/>
      <c r="C2" s="512"/>
      <c r="D2" s="512"/>
      <c r="E2" s="512"/>
      <c r="F2" s="512"/>
      <c r="G2" s="512"/>
      <c r="H2" s="501"/>
      <c r="I2" s="501"/>
      <c r="J2" s="516"/>
    </row>
    <row r="3" spans="1:15" ht="15" thickBot="1" x14ac:dyDescent="0.35">
      <c r="A3" s="503"/>
      <c r="B3" s="496" t="s">
        <v>218</v>
      </c>
      <c r="C3" s="497"/>
      <c r="D3" s="497"/>
      <c r="E3" s="497"/>
      <c r="F3" s="498"/>
      <c r="G3" s="510"/>
      <c r="H3" s="63" t="s">
        <v>174</v>
      </c>
      <c r="I3" s="61"/>
      <c r="J3" s="110">
        <f>(('Etat Civil'!H8*'Prévision retraite'!B22)*0.9)+(('Etat Civil'!H14*'Prévision retraite'!B22)*0.9)+'Etat Civil'!H10*'Prévision retraite'!B22+'Etat Civil'!H16*'Prévision retraite'!B22+SUM('Prévision retraite'!F14:F17)*0.8</f>
        <v>39154.5</v>
      </c>
    </row>
    <row r="4" spans="1:15" ht="15" thickBot="1" x14ac:dyDescent="0.35">
      <c r="A4" s="503"/>
      <c r="B4" s="42"/>
      <c r="C4" s="43"/>
      <c r="D4" s="59"/>
      <c r="E4" s="43"/>
      <c r="F4" s="44"/>
      <c r="G4" s="510"/>
      <c r="H4" s="64" t="s">
        <v>219</v>
      </c>
      <c r="I4" s="62"/>
      <c r="J4" s="60">
        <f>'Prévision retraite'!C22</f>
        <v>2</v>
      </c>
      <c r="M4" s="11">
        <v>0</v>
      </c>
      <c r="O4" s="11" t="s">
        <v>176</v>
      </c>
    </row>
    <row r="5" spans="1:15" x14ac:dyDescent="0.3">
      <c r="A5" s="503"/>
      <c r="B5" s="45">
        <v>0</v>
      </c>
      <c r="C5" s="46">
        <v>10225</v>
      </c>
      <c r="D5" s="51">
        <f>0</f>
        <v>0</v>
      </c>
      <c r="E5" s="46">
        <f>0</f>
        <v>0</v>
      </c>
      <c r="F5" s="47"/>
      <c r="G5" s="510"/>
      <c r="H5" s="512"/>
      <c r="I5" s="512"/>
      <c r="J5" s="505"/>
      <c r="M5" s="11">
        <v>1</v>
      </c>
      <c r="O5" s="11" t="s">
        <v>177</v>
      </c>
    </row>
    <row r="6" spans="1:15" x14ac:dyDescent="0.3">
      <c r="A6" s="503"/>
      <c r="B6" s="45">
        <v>10226</v>
      </c>
      <c r="C6" s="46">
        <v>26070</v>
      </c>
      <c r="D6" s="51">
        <f>0.14</f>
        <v>0.14000000000000001</v>
      </c>
      <c r="E6" s="46">
        <f>(C6-B6)*D6</f>
        <v>2218.1600000000003</v>
      </c>
      <c r="F6" s="47"/>
      <c r="G6" s="510"/>
      <c r="H6" s="510"/>
      <c r="I6" s="510"/>
      <c r="J6" s="506"/>
      <c r="M6" s="11">
        <v>2</v>
      </c>
      <c r="O6" s="11" t="s">
        <v>178</v>
      </c>
    </row>
    <row r="7" spans="1:15" x14ac:dyDescent="0.3">
      <c r="A7" s="503"/>
      <c r="B7" s="45">
        <v>26071</v>
      </c>
      <c r="C7" s="46">
        <v>74545</v>
      </c>
      <c r="D7" s="51">
        <f>0.3</f>
        <v>0.3</v>
      </c>
      <c r="E7" s="46">
        <f>(C7-B7)*0.3</f>
        <v>14542.199999999999</v>
      </c>
      <c r="F7" s="47">
        <f>E7+E6</f>
        <v>16760.36</v>
      </c>
      <c r="G7" s="510"/>
      <c r="H7" s="510"/>
      <c r="I7" s="510"/>
      <c r="J7" s="506"/>
      <c r="M7" s="11">
        <v>3</v>
      </c>
    </row>
    <row r="8" spans="1:15" ht="15" thickBot="1" x14ac:dyDescent="0.35">
      <c r="A8" s="503"/>
      <c r="B8" s="45">
        <v>74546</v>
      </c>
      <c r="C8" s="46">
        <v>160336</v>
      </c>
      <c r="D8" s="51">
        <v>0.41</v>
      </c>
      <c r="E8" s="46">
        <f>(C8-B8)*D8</f>
        <v>35173.9</v>
      </c>
      <c r="F8" s="47">
        <f>SUM(E6:E8)</f>
        <v>51934.26</v>
      </c>
      <c r="G8" s="510"/>
      <c r="H8" s="510"/>
      <c r="I8" s="510"/>
      <c r="J8" s="506"/>
      <c r="M8" s="11">
        <v>4</v>
      </c>
    </row>
    <row r="9" spans="1:15" ht="15" thickBot="1" x14ac:dyDescent="0.35">
      <c r="A9" s="503"/>
      <c r="B9" s="48"/>
      <c r="C9" s="49"/>
      <c r="D9" s="52">
        <f>0.45</f>
        <v>0.45</v>
      </c>
      <c r="E9" s="49"/>
      <c r="F9" s="50"/>
      <c r="G9" s="510"/>
      <c r="H9" s="496"/>
      <c r="I9" s="498"/>
      <c r="J9" s="41"/>
      <c r="M9" s="11">
        <v>5</v>
      </c>
    </row>
    <row r="10" spans="1:15" x14ac:dyDescent="0.3">
      <c r="A10" s="503"/>
      <c r="B10" s="512"/>
      <c r="C10" s="512"/>
      <c r="D10" s="512"/>
      <c r="E10" s="512"/>
      <c r="F10" s="512"/>
      <c r="G10" s="510"/>
      <c r="H10" s="69" t="s">
        <v>220</v>
      </c>
      <c r="I10" s="65">
        <f>IF(J3&gt;=C8, (J3-C8)*D9+E8+E7+E6, IF(J3&gt;=C7, (J3-C7)*D8+E7+E6, IF(J3&gt;=C6, (J3-C6)*D7+E6, IF(J3&gt;=C5, (J3-C5)*D6, 0))))</f>
        <v>6143.51</v>
      </c>
      <c r="J10" s="41"/>
    </row>
    <row r="11" spans="1:15" x14ac:dyDescent="0.3">
      <c r="A11" s="503"/>
      <c r="B11" s="510" t="s">
        <v>221</v>
      </c>
      <c r="C11" s="510"/>
      <c r="D11" s="510"/>
      <c r="E11" s="510"/>
      <c r="F11" s="510"/>
      <c r="G11" s="510"/>
      <c r="H11" s="70" t="s">
        <v>222</v>
      </c>
      <c r="I11" s="66">
        <f>IF(J3&gt;=C28, (J3-C28)*D29+E28+E27+E26, IF(J3&gt;=C27, (J3-C27)*D28+E27+E26, IF(J3&gt;=C26, (J3-C26)*D27+E26, IF(J3&gt;=C25, (J3-C25)*D26, 0))))</f>
        <v>2618.63</v>
      </c>
      <c r="J11" s="41"/>
    </row>
    <row r="12" spans="1:15" x14ac:dyDescent="0.3">
      <c r="A12" s="503"/>
      <c r="B12" s="510"/>
      <c r="C12" s="510"/>
      <c r="D12" s="510"/>
      <c r="E12" s="510"/>
      <c r="F12" s="510"/>
      <c r="G12" s="510"/>
      <c r="H12" s="70"/>
      <c r="I12" s="67"/>
      <c r="J12" s="41"/>
    </row>
    <row r="13" spans="1:15" x14ac:dyDescent="0.3">
      <c r="A13" s="503"/>
      <c r="B13" s="510"/>
      <c r="C13" s="510"/>
      <c r="D13" s="510"/>
      <c r="E13" s="510"/>
      <c r="F13" s="510"/>
      <c r="G13" s="510"/>
      <c r="H13" s="70" t="s">
        <v>223</v>
      </c>
      <c r="I13" s="67">
        <f>IF('Impôt Retraite'!C5="Parent isolé (T)", 1,0)</f>
        <v>0</v>
      </c>
      <c r="J13" s="41"/>
    </row>
    <row r="14" spans="1:15" x14ac:dyDescent="0.3">
      <c r="A14" s="503"/>
      <c r="B14" s="510"/>
      <c r="C14" s="510"/>
      <c r="D14" s="510"/>
      <c r="E14" s="510"/>
      <c r="F14" s="510"/>
      <c r="G14" s="510"/>
      <c r="H14" s="70" t="s">
        <v>224</v>
      </c>
      <c r="I14" s="67">
        <f>IF('Impôt Retraite'!C5="Enfant élevé seul (L)", 1, 0)</f>
        <v>0</v>
      </c>
      <c r="J14" s="41"/>
    </row>
    <row r="15" spans="1:15" ht="15" thickBot="1" x14ac:dyDescent="0.35">
      <c r="A15" s="504"/>
      <c r="B15" s="511"/>
      <c r="C15" s="511"/>
      <c r="D15" s="511"/>
      <c r="E15" s="511"/>
      <c r="F15" s="511"/>
      <c r="G15" s="510"/>
      <c r="H15" s="70" t="s">
        <v>203</v>
      </c>
      <c r="I15" s="67">
        <f>IF('Impôt Retraite'!C5="Invalidité", 1,0)</f>
        <v>0</v>
      </c>
      <c r="J15" s="41"/>
    </row>
    <row r="16" spans="1:15" ht="16.2" thickBot="1" x14ac:dyDescent="0.35">
      <c r="A16" s="513"/>
      <c r="B16" s="514"/>
      <c r="C16" s="514"/>
      <c r="D16" s="514"/>
      <c r="E16" s="514"/>
      <c r="F16" s="515"/>
      <c r="G16" s="510"/>
      <c r="H16" s="70" t="s">
        <v>225</v>
      </c>
      <c r="I16" s="67">
        <f>IF('Impôt Retraite'!C5=0, (J4-1)*2, (J4-1)*2-1)</f>
        <v>2</v>
      </c>
      <c r="J16" s="41"/>
    </row>
    <row r="17" spans="1:17" x14ac:dyDescent="0.3">
      <c r="A17" s="85">
        <v>1592</v>
      </c>
      <c r="B17" s="34" t="s">
        <v>226</v>
      </c>
      <c r="C17" s="34"/>
      <c r="D17" s="34"/>
      <c r="E17" s="34"/>
      <c r="F17" s="35"/>
      <c r="G17" s="510"/>
      <c r="H17" s="70" t="s">
        <v>188</v>
      </c>
      <c r="I17" s="66">
        <f>I10-A17*I16-I13*A19-I14*A18-I15*A20</f>
        <v>2959.51</v>
      </c>
      <c r="J17" s="41"/>
      <c r="O17" s="11" t="s">
        <v>189</v>
      </c>
      <c r="P17" s="11">
        <v>0</v>
      </c>
      <c r="Q17" s="11">
        <v>1</v>
      </c>
    </row>
    <row r="18" spans="1:17" x14ac:dyDescent="0.3">
      <c r="A18" s="86">
        <v>936</v>
      </c>
      <c r="B18" s="36" t="s">
        <v>190</v>
      </c>
      <c r="C18" s="36"/>
      <c r="D18" s="36"/>
      <c r="E18" s="36"/>
      <c r="F18" s="37"/>
      <c r="G18" s="510"/>
      <c r="H18" s="70"/>
      <c r="I18" s="67"/>
      <c r="J18" s="41"/>
      <c r="P18" s="11">
        <v>1</v>
      </c>
      <c r="Q18" s="11">
        <v>1.5</v>
      </c>
    </row>
    <row r="19" spans="1:17" x14ac:dyDescent="0.3">
      <c r="A19" s="86">
        <f>3697-1567</f>
        <v>2130</v>
      </c>
      <c r="B19" s="36" t="s">
        <v>227</v>
      </c>
      <c r="C19" s="36"/>
      <c r="D19" s="36"/>
      <c r="E19" s="36"/>
      <c r="F19" s="37"/>
      <c r="G19" s="510"/>
      <c r="H19" s="70"/>
      <c r="I19" s="67"/>
      <c r="J19" s="41"/>
      <c r="P19" s="11">
        <v>2</v>
      </c>
      <c r="Q19" s="11">
        <v>2</v>
      </c>
    </row>
    <row r="20" spans="1:17" x14ac:dyDescent="0.3">
      <c r="A20" s="86">
        <v>3129</v>
      </c>
      <c r="B20" s="36" t="s">
        <v>228</v>
      </c>
      <c r="C20" s="36"/>
      <c r="D20" s="36"/>
      <c r="E20" s="36"/>
      <c r="F20" s="37"/>
      <c r="G20" s="510"/>
      <c r="H20" s="70" t="s">
        <v>193</v>
      </c>
      <c r="I20" s="66">
        <f>IF(I11&gt;I17, I11, I17)</f>
        <v>2959.51</v>
      </c>
      <c r="J20" s="41"/>
      <c r="P20" s="11">
        <v>3</v>
      </c>
      <c r="Q20" s="11">
        <v>3</v>
      </c>
    </row>
    <row r="21" spans="1:17" ht="15" thickBot="1" x14ac:dyDescent="0.35">
      <c r="A21" s="38"/>
      <c r="B21" s="39" t="s">
        <v>229</v>
      </c>
      <c r="C21" s="39"/>
      <c r="D21" s="39"/>
      <c r="E21" s="39"/>
      <c r="F21" s="40"/>
      <c r="G21" s="510"/>
      <c r="H21" s="70" t="s">
        <v>195</v>
      </c>
      <c r="I21" s="67">
        <f>IF(I20&lt;=1611, (1611*0.75-I20*0.75), 0)</f>
        <v>0</v>
      </c>
      <c r="J21" s="41"/>
      <c r="P21" s="11">
        <v>4</v>
      </c>
      <c r="Q21" s="11">
        <v>4</v>
      </c>
    </row>
    <row r="22" spans="1:17" ht="15" thickBot="1" x14ac:dyDescent="0.35">
      <c r="A22" s="502"/>
      <c r="B22" s="512"/>
      <c r="C22" s="512"/>
      <c r="D22" s="512"/>
      <c r="E22" s="512"/>
      <c r="F22" s="512"/>
      <c r="G22" s="510"/>
      <c r="H22" s="71" t="s">
        <v>196</v>
      </c>
      <c r="I22" s="68">
        <f>IF(I21&gt;I20, 0, I20-I21)</f>
        <v>2959.51</v>
      </c>
      <c r="J22" s="41"/>
    </row>
    <row r="23" spans="1:17" ht="15" thickBot="1" x14ac:dyDescent="0.35">
      <c r="A23" s="509"/>
      <c r="B23" s="496" t="s">
        <v>197</v>
      </c>
      <c r="C23" s="497"/>
      <c r="D23" s="497"/>
      <c r="E23" s="497"/>
      <c r="F23" s="498"/>
      <c r="G23" s="510"/>
      <c r="H23" s="510"/>
      <c r="I23" s="510"/>
      <c r="J23" s="506"/>
      <c r="O23" s="11" t="s">
        <v>198</v>
      </c>
      <c r="P23" s="11">
        <v>0</v>
      </c>
      <c r="Q23" s="11">
        <v>2</v>
      </c>
    </row>
    <row r="24" spans="1:17" x14ac:dyDescent="0.3">
      <c r="A24" s="509"/>
      <c r="B24" s="42"/>
      <c r="C24" s="43"/>
      <c r="D24" s="43"/>
      <c r="E24" s="43"/>
      <c r="F24" s="44"/>
      <c r="G24" s="510"/>
      <c r="H24" s="510"/>
      <c r="I24" s="510"/>
      <c r="J24" s="506"/>
      <c r="P24" s="11">
        <v>1</v>
      </c>
      <c r="Q24" s="11">
        <v>2.5</v>
      </c>
    </row>
    <row r="25" spans="1:17" x14ac:dyDescent="0.3">
      <c r="A25" s="509"/>
      <c r="B25" s="45">
        <v>0</v>
      </c>
      <c r="C25" s="46">
        <f>C5*$J$4</f>
        <v>20450</v>
      </c>
      <c r="D25" s="51">
        <f>0</f>
        <v>0</v>
      </c>
      <c r="E25" s="46">
        <f>0</f>
        <v>0</v>
      </c>
      <c r="F25" s="47"/>
      <c r="G25" s="510"/>
      <c r="H25" s="510"/>
      <c r="I25" s="510"/>
      <c r="J25" s="506"/>
      <c r="P25" s="11">
        <v>2</v>
      </c>
      <c r="Q25" s="11">
        <v>3</v>
      </c>
    </row>
    <row r="26" spans="1:17" x14ac:dyDescent="0.3">
      <c r="A26" s="509"/>
      <c r="B26" s="45">
        <f>B6*$J$4</f>
        <v>20452</v>
      </c>
      <c r="C26" s="46">
        <f>C6*$J$4</f>
        <v>52140</v>
      </c>
      <c r="D26" s="51">
        <f>0.14</f>
        <v>0.14000000000000001</v>
      </c>
      <c r="E26" s="46">
        <f>(C26-B26)*D26</f>
        <v>4436.3200000000006</v>
      </c>
      <c r="F26" s="47"/>
      <c r="G26" s="510"/>
      <c r="H26" s="510"/>
      <c r="I26" s="510"/>
      <c r="J26" s="506"/>
      <c r="P26" s="11">
        <v>3</v>
      </c>
      <c r="Q26" s="11">
        <v>4</v>
      </c>
    </row>
    <row r="27" spans="1:17" x14ac:dyDescent="0.3">
      <c r="A27" s="509"/>
      <c r="B27" s="45">
        <f>B7*$J$4</f>
        <v>52142</v>
      </c>
      <c r="C27" s="46">
        <f>C7*$J$4</f>
        <v>149090</v>
      </c>
      <c r="D27" s="51">
        <f>0.3</f>
        <v>0.3</v>
      </c>
      <c r="E27" s="46">
        <f>(C27-B27)*0.3</f>
        <v>29084.399999999998</v>
      </c>
      <c r="F27" s="47">
        <f>E27+E26</f>
        <v>33520.720000000001</v>
      </c>
      <c r="G27" s="510"/>
      <c r="H27" s="510"/>
      <c r="I27" s="510"/>
      <c r="J27" s="506"/>
      <c r="P27" s="11">
        <v>4</v>
      </c>
      <c r="Q27" s="11">
        <v>5</v>
      </c>
    </row>
    <row r="28" spans="1:17" x14ac:dyDescent="0.3">
      <c r="A28" s="509"/>
      <c r="B28" s="45">
        <f>B8*$J$4</f>
        <v>149092</v>
      </c>
      <c r="C28" s="46">
        <f>C8*$J$4</f>
        <v>320672</v>
      </c>
      <c r="D28" s="51">
        <v>0.41</v>
      </c>
      <c r="E28" s="46">
        <f>(C28-B28)*D28</f>
        <v>70347.8</v>
      </c>
      <c r="F28" s="47">
        <f>SUM(E26:E28)</f>
        <v>103868.52</v>
      </c>
      <c r="G28" s="510"/>
      <c r="H28" s="510"/>
      <c r="I28" s="510"/>
      <c r="J28" s="506"/>
    </row>
    <row r="29" spans="1:17" ht="15" thickBot="1" x14ac:dyDescent="0.35">
      <c r="A29" s="517"/>
      <c r="B29" s="48"/>
      <c r="C29" s="49"/>
      <c r="D29" s="52">
        <f>0.45</f>
        <v>0.45</v>
      </c>
      <c r="E29" s="49"/>
      <c r="F29" s="50"/>
      <c r="G29" s="511"/>
      <c r="H29" s="511"/>
      <c r="I29" s="511"/>
      <c r="J29" s="507"/>
    </row>
    <row r="30" spans="1:17" ht="15" thickBot="1" x14ac:dyDescent="0.35">
      <c r="A30" s="501"/>
      <c r="B30" s="501"/>
      <c r="C30" s="501"/>
      <c r="D30" s="501"/>
      <c r="E30" s="501"/>
      <c r="F30" s="501"/>
      <c r="G30" s="501"/>
      <c r="H30" s="501"/>
      <c r="I30" s="501"/>
      <c r="J30" s="501"/>
      <c r="O30" s="11">
        <f>IF(OR('Impôt Retraite'!C3="Célibataire",'Impôt Retraite'!C3="Divorcé",'Impôt Retraite'!C3="Veuf",'Impôt Retraite'!C3="Concubinage"), VLOOKUP('Impôt Retraite'!C4, 'Calcul IR Bis Retraite'!P17:Q21, 2, FALSE), VLOOKUP('Impôt Retraite'!C4, 'Calcul IR Bis Retraite'!P23:Q27, 2, FALSE))-IF('Etat Civil'!C22="Alternée",IF('Etat Civil'!G35=1,0.25,IF('Etat Civil'!G35=2,0.5,IF('Etat Civil'!G35=3,1,IF('Etat Civil'!G35=4,1.5,2)))),0)</f>
        <v>2</v>
      </c>
    </row>
    <row r="31" spans="1:17" ht="15" thickBot="1" x14ac:dyDescent="0.35">
      <c r="A31" s="493" t="s">
        <v>199</v>
      </c>
      <c r="B31" s="499"/>
      <c r="C31" s="499"/>
      <c r="D31" s="499"/>
      <c r="E31" s="499"/>
      <c r="F31" s="499"/>
      <c r="G31" s="494"/>
      <c r="H31" s="494"/>
      <c r="I31" s="494"/>
      <c r="J31" s="495"/>
    </row>
    <row r="32" spans="1:17" ht="15" thickBot="1" x14ac:dyDescent="0.35">
      <c r="A32" s="502"/>
      <c r="B32" s="496"/>
      <c r="C32" s="497"/>
      <c r="D32" s="500"/>
      <c r="E32" s="53"/>
      <c r="F32" s="54"/>
      <c r="G32" s="508"/>
      <c r="H32" s="496"/>
      <c r="I32" s="498"/>
      <c r="J32" s="505"/>
    </row>
    <row r="33" spans="1:19" x14ac:dyDescent="0.3">
      <c r="A33" s="503"/>
      <c r="B33" s="55">
        <f>B5*2</f>
        <v>0</v>
      </c>
      <c r="C33" s="56">
        <f>C5*2</f>
        <v>20450</v>
      </c>
      <c r="D33" s="58">
        <v>0</v>
      </c>
      <c r="E33" s="56">
        <v>0</v>
      </c>
      <c r="F33" s="57"/>
      <c r="G33" s="509"/>
      <c r="H33" s="72" t="s">
        <v>230</v>
      </c>
      <c r="I33" s="75">
        <f>IF(J3&gt;=C37, (J3-C37)*D38+E37+E36+E34, IF(J3&gt;=C36, (J3-C36)*D37+E36+E34, IF(J3&gt;=C34, (J3-C34)*D36+E34, IF(J3&gt;=C33, (J3-C33)*D34, 0))))</f>
        <v>2618.63</v>
      </c>
      <c r="J33" s="506"/>
    </row>
    <row r="34" spans="1:19" x14ac:dyDescent="0.3">
      <c r="A34" s="503"/>
      <c r="B34" s="45">
        <f t="shared" ref="B34:C34" si="0">B6*2</f>
        <v>20452</v>
      </c>
      <c r="C34" s="46">
        <f t="shared" si="0"/>
        <v>52140</v>
      </c>
      <c r="D34" s="51">
        <v>0.14000000000000001</v>
      </c>
      <c r="E34" s="46">
        <f>(C34-B34)*D34</f>
        <v>4436.3200000000006</v>
      </c>
      <c r="F34" s="47"/>
      <c r="G34" s="509"/>
      <c r="H34" s="73" t="s">
        <v>222</v>
      </c>
      <c r="I34" s="76">
        <f>IF(J3&gt;=C28, (J3-C28)*D29+E28+E27+E26, IF(J3&gt;=C27, (J3-C27)*D28+E27+E26, IF(J3&gt;=C26, (J3-C26)*D27+E26, IF(J3&gt;=C25, (J3-C25)*D26, 0))))</f>
        <v>2618.63</v>
      </c>
      <c r="J34" s="506"/>
      <c r="O34" s="11">
        <f>1196*1.01</f>
        <v>1207.96</v>
      </c>
    </row>
    <row r="35" spans="1:19" x14ac:dyDescent="0.3">
      <c r="A35" s="503"/>
      <c r="B35" s="45"/>
      <c r="C35" s="46"/>
      <c r="D35" s="51"/>
      <c r="E35" s="46"/>
      <c r="F35" s="47"/>
      <c r="G35" s="509"/>
      <c r="H35" s="73" t="s">
        <v>203</v>
      </c>
      <c r="I35" s="77">
        <f>IF('Impôt Retraite'!C5="Invalidité", 1,0)</f>
        <v>0</v>
      </c>
      <c r="J35" s="506"/>
      <c r="O35" s="11">
        <f>1970*(1+O36)</f>
        <v>1989.7</v>
      </c>
      <c r="R35" s="11">
        <f>1208-0.75*1000</f>
        <v>458</v>
      </c>
      <c r="S35" s="11">
        <v>1611</v>
      </c>
    </row>
    <row r="36" spans="1:19" x14ac:dyDescent="0.3">
      <c r="A36" s="503"/>
      <c r="B36" s="45">
        <f>B7*2</f>
        <v>52142</v>
      </c>
      <c r="C36" s="46">
        <f>C7*2</f>
        <v>149090</v>
      </c>
      <c r="D36" s="51">
        <v>0.3</v>
      </c>
      <c r="E36" s="46">
        <f>(C36-B36)*D36</f>
        <v>29084.399999999998</v>
      </c>
      <c r="F36" s="47">
        <f>E34+E36</f>
        <v>33520.720000000001</v>
      </c>
      <c r="G36" s="509"/>
      <c r="H36" s="73" t="s">
        <v>231</v>
      </c>
      <c r="I36" s="77">
        <f>MAX(0,IF('Impôt Retraite'!C5=0, (J4-2)*2, (J4-2)*2-1))</f>
        <v>0</v>
      </c>
      <c r="J36" s="506"/>
      <c r="O36" s="11">
        <v>0.01</v>
      </c>
      <c r="S36" s="11">
        <v>2653</v>
      </c>
    </row>
    <row r="37" spans="1:19" x14ac:dyDescent="0.3">
      <c r="A37" s="503"/>
      <c r="B37" s="45">
        <f>B8*2</f>
        <v>149092</v>
      </c>
      <c r="C37" s="46">
        <f>C8*2</f>
        <v>320672</v>
      </c>
      <c r="D37" s="51">
        <v>0.41</v>
      </c>
      <c r="E37" s="46">
        <f>(C37-B37)*D37</f>
        <v>70347.8</v>
      </c>
      <c r="F37" s="47">
        <f>E34+E36+E37</f>
        <v>103868.52</v>
      </c>
      <c r="G37" s="509"/>
      <c r="H37" s="73" t="s">
        <v>188</v>
      </c>
      <c r="I37" s="76">
        <f>I33-A17*I36-I35*A20</f>
        <v>2618.63</v>
      </c>
      <c r="J37" s="506"/>
    </row>
    <row r="38" spans="1:19" ht="15" thickBot="1" x14ac:dyDescent="0.35">
      <c r="A38" s="503"/>
      <c r="B38" s="48"/>
      <c r="C38" s="49"/>
      <c r="D38" s="52">
        <v>0.45</v>
      </c>
      <c r="E38" s="49"/>
      <c r="F38" s="50"/>
      <c r="G38" s="509"/>
      <c r="H38" s="73"/>
      <c r="I38" s="77"/>
      <c r="J38" s="506"/>
    </row>
    <row r="39" spans="1:19" x14ac:dyDescent="0.3">
      <c r="A39" s="503"/>
      <c r="B39" s="510"/>
      <c r="C39" s="510"/>
      <c r="D39" s="510"/>
      <c r="E39" s="510"/>
      <c r="F39" s="510"/>
      <c r="G39" s="510"/>
      <c r="H39" s="73" t="s">
        <v>193</v>
      </c>
      <c r="I39" s="76">
        <f>IF(I34&gt;I37, I34, I37)</f>
        <v>2618.63</v>
      </c>
      <c r="J39" s="506"/>
    </row>
    <row r="40" spans="1:19" x14ac:dyDescent="0.3">
      <c r="A40" s="503"/>
      <c r="B40" s="510"/>
      <c r="C40" s="510"/>
      <c r="D40" s="510"/>
      <c r="E40" s="510"/>
      <c r="F40" s="510"/>
      <c r="G40" s="510"/>
      <c r="H40" s="73" t="s">
        <v>195</v>
      </c>
      <c r="I40" s="78">
        <f>IF(I39&lt;=2653, 2653*0.75-I39*0.75, 0)</f>
        <v>25.777499999999918</v>
      </c>
      <c r="J40" s="506"/>
    </row>
    <row r="41" spans="1:19" ht="15" thickBot="1" x14ac:dyDescent="0.35">
      <c r="A41" s="503"/>
      <c r="B41" s="510"/>
      <c r="C41" s="510"/>
      <c r="D41" s="510"/>
      <c r="E41" s="510"/>
      <c r="F41" s="510"/>
      <c r="G41" s="510"/>
      <c r="H41" s="74" t="s">
        <v>196</v>
      </c>
      <c r="I41" s="79">
        <f>IF(I40&gt;I39, 0, I39-I40)</f>
        <v>2592.8525</v>
      </c>
      <c r="J41" s="506"/>
    </row>
  </sheetData>
  <sheetProtection algorithmName="SHA-512" hashValue="yp90A5Jo74xesy6X8QcSTLusfNlM72wI7NtpA+hGfByB+FWiA64IPfgy8soKbz+d/I+eJ7JZG+ghU9M/Vu1juQ==" saltValue="KaN0iZYXlss7kJtrZqWKLg==" spinCount="100000" sheet="1" objects="1" scenarios="1" selectLockedCells="1" selectUnlockedCells="1"/>
  <mergeCells count="22">
    <mergeCell ref="A32:A41"/>
    <mergeCell ref="B32:D32"/>
    <mergeCell ref="G32:G38"/>
    <mergeCell ref="H32:I32"/>
    <mergeCell ref="J32:J41"/>
    <mergeCell ref="B39:G41"/>
    <mergeCell ref="A1:J1"/>
    <mergeCell ref="B3:F3"/>
    <mergeCell ref="B23:F23"/>
    <mergeCell ref="A31:J31"/>
    <mergeCell ref="A2:F2"/>
    <mergeCell ref="G2:G29"/>
    <mergeCell ref="H2:J2"/>
    <mergeCell ref="A3:A15"/>
    <mergeCell ref="H5:J8"/>
    <mergeCell ref="H9:I9"/>
    <mergeCell ref="B10:F15"/>
    <mergeCell ref="A16:F16"/>
    <mergeCell ref="A22:F22"/>
    <mergeCell ref="A23:A29"/>
    <mergeCell ref="H23:J29"/>
    <mergeCell ref="A30:J30"/>
  </mergeCell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21278-BFBF-460C-AC3E-EFACB6AE99D4}">
  <sheetPr codeName="Feuil15"/>
  <dimension ref="A1:AC19"/>
  <sheetViews>
    <sheetView workbookViewId="0">
      <selection activeCell="H27" sqref="H27"/>
    </sheetView>
  </sheetViews>
  <sheetFormatPr baseColWidth="10" defaultColWidth="10.19921875" defaultRowHeight="14.4" x14ac:dyDescent="0.3"/>
  <cols>
    <col min="1" max="1" width="10.19921875" style="12"/>
    <col min="2" max="2" width="20.19921875" style="12" customWidth="1"/>
    <col min="3" max="3" width="26.19921875" style="12" customWidth="1"/>
    <col min="4" max="4" width="15.69921875" style="12" bestFit="1" customWidth="1"/>
    <col min="5" max="16384" width="10.19921875" style="12"/>
  </cols>
  <sheetData>
    <row r="1" spans="1:29" ht="28.8" x14ac:dyDescent="0.55000000000000004">
      <c r="A1" s="518" t="s">
        <v>205</v>
      </c>
      <c r="B1" s="519"/>
      <c r="C1" s="519"/>
      <c r="D1" s="519"/>
      <c r="E1" s="519"/>
      <c r="F1" s="519"/>
      <c r="G1" s="519"/>
      <c r="H1" s="519"/>
      <c r="I1" s="519"/>
      <c r="J1" s="519"/>
      <c r="K1" s="519"/>
      <c r="L1" s="519"/>
      <c r="M1" s="519"/>
      <c r="N1" s="520"/>
      <c r="O1" s="521" t="s">
        <v>206</v>
      </c>
      <c r="P1" s="522"/>
      <c r="Q1" s="522"/>
      <c r="R1" s="522"/>
      <c r="S1" s="522"/>
      <c r="T1" s="522"/>
      <c r="U1" s="522"/>
      <c r="V1" s="522"/>
      <c r="W1" s="522"/>
      <c r="X1" s="522"/>
      <c r="Y1" s="522"/>
      <c r="Z1" s="522"/>
      <c r="AA1" s="522"/>
      <c r="AB1" s="522"/>
      <c r="AC1" s="522"/>
    </row>
    <row r="2" spans="1:29" ht="15.6" x14ac:dyDescent="0.3">
      <c r="A2" s="13"/>
      <c r="K2" s="524" t="s">
        <v>207</v>
      </c>
      <c r="L2" s="524"/>
      <c r="M2" s="524"/>
      <c r="N2" s="525"/>
      <c r="O2" s="523"/>
      <c r="P2" s="522"/>
      <c r="Q2" s="522"/>
      <c r="R2" s="522"/>
      <c r="S2" s="522"/>
      <c r="T2" s="522"/>
      <c r="U2" s="522"/>
      <c r="V2" s="522"/>
      <c r="W2" s="522"/>
      <c r="X2" s="522"/>
      <c r="Y2" s="522"/>
      <c r="Z2" s="522"/>
      <c r="AA2" s="522"/>
      <c r="AB2" s="522"/>
      <c r="AC2" s="522"/>
    </row>
    <row r="3" spans="1:29" ht="28.5" customHeight="1" x14ac:dyDescent="0.3">
      <c r="A3" s="14" t="s">
        <v>208</v>
      </c>
      <c r="B3" s="15"/>
      <c r="C3" s="16" t="str">
        <f>'Etat Civil'!C19</f>
        <v>Pacsé</v>
      </c>
      <c r="N3" s="17"/>
      <c r="O3" s="523"/>
      <c r="P3" s="522"/>
      <c r="Q3" s="522"/>
      <c r="R3" s="522"/>
      <c r="S3" s="522"/>
      <c r="T3" s="522"/>
      <c r="U3" s="522"/>
      <c r="V3" s="522"/>
      <c r="W3" s="522"/>
      <c r="X3" s="522"/>
      <c r="Y3" s="522"/>
      <c r="Z3" s="522"/>
      <c r="AA3" s="522"/>
      <c r="AB3" s="522"/>
      <c r="AC3" s="522"/>
    </row>
    <row r="4" spans="1:29" ht="28.5" customHeight="1" x14ac:dyDescent="0.3">
      <c r="A4" s="14" t="s">
        <v>209</v>
      </c>
      <c r="B4" s="15"/>
      <c r="C4" s="16">
        <v>0</v>
      </c>
      <c r="N4" s="17"/>
      <c r="O4" s="523"/>
      <c r="P4" s="522"/>
      <c r="Q4" s="522"/>
      <c r="R4" s="522"/>
      <c r="S4" s="522"/>
      <c r="T4" s="522"/>
      <c r="U4" s="522"/>
      <c r="V4" s="522"/>
      <c r="W4" s="522"/>
      <c r="X4" s="522"/>
      <c r="Y4" s="522"/>
      <c r="Z4" s="522"/>
      <c r="AA4" s="522"/>
      <c r="AB4" s="522"/>
      <c r="AC4" s="522"/>
    </row>
    <row r="5" spans="1:29" ht="28.5" customHeight="1" x14ac:dyDescent="0.3">
      <c r="A5" s="14" t="s">
        <v>35</v>
      </c>
      <c r="B5" s="15"/>
      <c r="C5" s="18">
        <f>IF('Etat Civil'!C21="Parent isolé (T)",0,'Etat Civil'!C21)</f>
        <v>0</v>
      </c>
      <c r="D5" s="526" t="s">
        <v>210</v>
      </c>
      <c r="E5" s="526"/>
      <c r="F5" s="526"/>
      <c r="G5" s="526"/>
      <c r="H5" s="526"/>
      <c r="I5" s="526"/>
      <c r="J5" s="526"/>
      <c r="K5" s="526"/>
      <c r="L5" s="526"/>
      <c r="M5" s="526"/>
      <c r="N5" s="526"/>
      <c r="O5" s="523"/>
      <c r="P5" s="522"/>
      <c r="Q5" s="522"/>
      <c r="R5" s="522"/>
      <c r="S5" s="522"/>
      <c r="T5" s="522"/>
      <c r="U5" s="522"/>
      <c r="V5" s="522"/>
      <c r="W5" s="522"/>
      <c r="X5" s="522"/>
      <c r="Y5" s="522"/>
      <c r="Z5" s="522"/>
      <c r="AA5" s="522"/>
      <c r="AB5" s="522"/>
      <c r="AC5" s="522"/>
    </row>
    <row r="6" spans="1:29" ht="28.5" customHeight="1" x14ac:dyDescent="0.3">
      <c r="A6" s="14"/>
      <c r="B6" s="15"/>
      <c r="C6" s="19"/>
      <c r="N6" s="17"/>
      <c r="O6" s="523"/>
      <c r="P6" s="522"/>
      <c r="Q6" s="522"/>
      <c r="R6" s="522"/>
      <c r="S6" s="522"/>
      <c r="T6" s="522"/>
      <c r="U6" s="522"/>
      <c r="V6" s="522"/>
      <c r="W6" s="522"/>
      <c r="X6" s="522"/>
      <c r="Y6" s="522"/>
      <c r="Z6" s="522"/>
      <c r="AA6" s="522"/>
      <c r="AB6" s="522"/>
      <c r="AC6" s="522"/>
    </row>
    <row r="7" spans="1:29" ht="28.5" hidden="1" customHeight="1" x14ac:dyDescent="0.3">
      <c r="A7" s="14"/>
      <c r="B7" s="15"/>
      <c r="C7" s="19"/>
      <c r="N7" s="17"/>
      <c r="O7" s="523"/>
      <c r="P7" s="522"/>
      <c r="Q7" s="522"/>
      <c r="R7" s="522"/>
      <c r="S7" s="522"/>
      <c r="T7" s="522"/>
      <c r="U7" s="522"/>
      <c r="V7" s="522"/>
      <c r="W7" s="522"/>
      <c r="X7" s="522"/>
      <c r="Y7" s="522"/>
      <c r="Z7" s="522"/>
      <c r="AA7" s="522"/>
      <c r="AB7" s="522"/>
      <c r="AC7" s="522"/>
    </row>
    <row r="8" spans="1:29" ht="28.5" customHeight="1" x14ac:dyDescent="0.3">
      <c r="A8" s="14" t="s">
        <v>211</v>
      </c>
      <c r="B8" s="15"/>
      <c r="C8" s="109">
        <f>'Calcul IR Bis Retraite'!J3</f>
        <v>39154.5</v>
      </c>
      <c r="D8" s="527" t="s">
        <v>212</v>
      </c>
      <c r="E8" s="527"/>
      <c r="F8" s="527"/>
      <c r="G8" s="527"/>
      <c r="H8" s="527"/>
      <c r="I8" s="527"/>
      <c r="J8" s="527"/>
      <c r="K8" s="527"/>
      <c r="L8" s="527"/>
      <c r="M8" s="527"/>
      <c r="N8" s="527"/>
      <c r="O8" s="523"/>
      <c r="P8" s="522"/>
      <c r="Q8" s="522"/>
      <c r="R8" s="522"/>
      <c r="S8" s="522"/>
      <c r="T8" s="522"/>
      <c r="U8" s="522"/>
      <c r="V8" s="522"/>
      <c r="W8" s="522"/>
      <c r="X8" s="522"/>
      <c r="Y8" s="522"/>
      <c r="Z8" s="522"/>
      <c r="AA8" s="522"/>
      <c r="AB8" s="522"/>
      <c r="AC8" s="522"/>
    </row>
    <row r="9" spans="1:29" ht="28.5" customHeight="1" x14ac:dyDescent="0.3">
      <c r="A9" s="20"/>
      <c r="B9" s="15"/>
      <c r="C9" s="21"/>
      <c r="N9" s="17"/>
      <c r="O9" s="523"/>
      <c r="P9" s="522"/>
      <c r="Q9" s="522"/>
      <c r="R9" s="522"/>
      <c r="S9" s="522"/>
      <c r="T9" s="522"/>
      <c r="U9" s="522"/>
      <c r="V9" s="522"/>
      <c r="W9" s="522"/>
      <c r="X9" s="522"/>
      <c r="Y9" s="522"/>
      <c r="Z9" s="522"/>
      <c r="AA9" s="522"/>
      <c r="AB9" s="522"/>
      <c r="AC9" s="522"/>
    </row>
    <row r="10" spans="1:29" ht="28.5" customHeight="1" x14ac:dyDescent="0.3">
      <c r="A10" s="22" t="s">
        <v>213</v>
      </c>
      <c r="B10" s="23"/>
      <c r="C10" s="24">
        <f>IF(C5=0,'Calcul IR Bis Retraite'!O30,'Calcul IR Bis Retraite'!O30+0.5)</f>
        <v>2</v>
      </c>
      <c r="N10" s="17"/>
      <c r="O10" s="523"/>
      <c r="P10" s="522"/>
      <c r="Q10" s="522"/>
      <c r="R10" s="522"/>
      <c r="S10" s="522"/>
      <c r="T10" s="522"/>
      <c r="U10" s="522"/>
      <c r="V10" s="522"/>
      <c r="W10" s="522"/>
      <c r="X10" s="522"/>
      <c r="Y10" s="522"/>
      <c r="Z10" s="522"/>
      <c r="AA10" s="522"/>
      <c r="AB10" s="522"/>
      <c r="AC10" s="522"/>
    </row>
    <row r="11" spans="1:29" ht="28.5" customHeight="1" x14ac:dyDescent="0.3">
      <c r="A11" s="20"/>
      <c r="B11" s="15"/>
      <c r="C11" s="21"/>
      <c r="N11" s="17"/>
      <c r="O11" s="523"/>
      <c r="P11" s="522"/>
      <c r="Q11" s="522"/>
      <c r="R11" s="522"/>
      <c r="S11" s="522"/>
      <c r="T11" s="522"/>
      <c r="U11" s="522"/>
      <c r="V11" s="522"/>
      <c r="W11" s="522"/>
      <c r="X11" s="522"/>
      <c r="Y11" s="522"/>
      <c r="Z11" s="522"/>
      <c r="AA11" s="522"/>
      <c r="AB11" s="522"/>
      <c r="AC11" s="522"/>
    </row>
    <row r="12" spans="1:29" ht="28.5" customHeight="1" x14ac:dyDescent="0.3">
      <c r="A12" s="25" t="s">
        <v>214</v>
      </c>
      <c r="B12" s="26"/>
      <c r="C12" s="98">
        <f>IF(OR(C3="Célibataire",C3="Divorcé",C3="Veuf",C3="Concubinage"),'Calcul IR Bis Retraite'!I20, 'Calcul IR Bis Retraite'!I39)</f>
        <v>2618.63</v>
      </c>
      <c r="N12" s="17"/>
      <c r="O12" s="523"/>
      <c r="P12" s="522"/>
      <c r="Q12" s="522"/>
      <c r="R12" s="522"/>
      <c r="S12" s="522"/>
      <c r="T12" s="522"/>
      <c r="U12" s="522"/>
      <c r="V12" s="522"/>
      <c r="W12" s="522"/>
      <c r="X12" s="522"/>
      <c r="Y12" s="522"/>
      <c r="Z12" s="522"/>
      <c r="AA12" s="522"/>
      <c r="AB12" s="522"/>
      <c r="AC12" s="522"/>
    </row>
    <row r="13" spans="1:29" ht="28.5" customHeight="1" x14ac:dyDescent="0.3">
      <c r="A13" s="25" t="s">
        <v>195</v>
      </c>
      <c r="B13" s="26"/>
      <c r="C13" s="33">
        <f>IF(OR(C3="Célibataire",C3="Divorcé",C3="Veuf",C3="Concubinage"),'Calcul IR Bis Retraite'!I21, 'Calcul IR Bis Retraite'!I40)</f>
        <v>25.777499999999918</v>
      </c>
      <c r="D13" s="528" t="s">
        <v>232</v>
      </c>
      <c r="E13" s="528"/>
      <c r="F13" s="528"/>
      <c r="G13" s="528"/>
      <c r="H13" s="528"/>
      <c r="I13" s="528"/>
      <c r="J13" s="528"/>
      <c r="K13" s="528"/>
      <c r="L13" s="528"/>
      <c r="M13" s="528"/>
      <c r="N13" s="529"/>
      <c r="O13" s="523"/>
      <c r="P13" s="522"/>
      <c r="Q13" s="522"/>
      <c r="R13" s="522"/>
      <c r="S13" s="522"/>
      <c r="T13" s="522"/>
      <c r="U13" s="522"/>
      <c r="V13" s="522"/>
      <c r="W13" s="522"/>
      <c r="X13" s="522"/>
      <c r="Y13" s="522"/>
      <c r="Z13" s="522"/>
      <c r="AA13" s="522"/>
      <c r="AB13" s="522"/>
      <c r="AC13" s="522"/>
    </row>
    <row r="14" spans="1:29" ht="34.5" customHeight="1" x14ac:dyDescent="0.3">
      <c r="A14" s="27" t="s">
        <v>54</v>
      </c>
      <c r="B14" s="28"/>
      <c r="C14" s="29">
        <f>IF(OR(C3="Célibataire",C3="Divorcé",C3="Veuf",C3="Concubinage"),'Calcul IR Bis Retraite'!I22, 'Calcul IR Bis Retraite'!I41)</f>
        <v>2592.8525</v>
      </c>
      <c r="D14" s="99">
        <f>C14</f>
        <v>2592.8525</v>
      </c>
      <c r="N14" s="17"/>
      <c r="O14" s="523"/>
      <c r="P14" s="522"/>
      <c r="Q14" s="522"/>
      <c r="R14" s="522"/>
      <c r="S14" s="522"/>
      <c r="T14" s="522"/>
      <c r="U14" s="522"/>
      <c r="V14" s="522"/>
      <c r="W14" s="522"/>
      <c r="X14" s="522"/>
      <c r="Y14" s="522"/>
      <c r="Z14" s="522"/>
      <c r="AA14" s="522"/>
      <c r="AB14" s="522"/>
      <c r="AC14" s="522"/>
    </row>
    <row r="15" spans="1:29" x14ac:dyDescent="0.3">
      <c r="A15" s="530" t="s">
        <v>216</v>
      </c>
      <c r="B15" s="531"/>
      <c r="C15" s="531"/>
      <c r="D15" s="531"/>
      <c r="E15" s="531"/>
      <c r="F15" s="531"/>
      <c r="G15" s="531"/>
      <c r="H15" s="531"/>
      <c r="I15" s="531"/>
      <c r="J15" s="531"/>
      <c r="K15" s="531"/>
      <c r="L15" s="531"/>
      <c r="M15" s="531"/>
      <c r="N15" s="532"/>
      <c r="O15" s="523"/>
      <c r="P15" s="522"/>
      <c r="Q15" s="522"/>
      <c r="R15" s="522"/>
      <c r="S15" s="522"/>
      <c r="T15" s="522"/>
      <c r="U15" s="522"/>
      <c r="V15" s="522"/>
      <c r="W15" s="522"/>
      <c r="X15" s="522"/>
      <c r="Y15" s="522"/>
      <c r="Z15" s="522"/>
      <c r="AA15" s="522"/>
      <c r="AB15" s="522"/>
      <c r="AC15" s="522"/>
    </row>
    <row r="16" spans="1:29" x14ac:dyDescent="0.3">
      <c r="A16" s="13"/>
      <c r="N16" s="17"/>
      <c r="O16" s="523"/>
      <c r="P16" s="522"/>
      <c r="Q16" s="522"/>
      <c r="R16" s="522"/>
      <c r="S16" s="522"/>
      <c r="T16" s="522"/>
      <c r="U16" s="522"/>
      <c r="V16" s="522"/>
      <c r="W16" s="522"/>
      <c r="X16" s="522"/>
      <c r="Y16" s="522"/>
      <c r="Z16" s="522"/>
      <c r="AA16" s="522"/>
      <c r="AB16" s="522"/>
      <c r="AC16" s="522"/>
    </row>
    <row r="17" spans="1:29" hidden="1" x14ac:dyDescent="0.3">
      <c r="A17" s="13"/>
      <c r="N17" s="17"/>
      <c r="O17" s="523"/>
      <c r="P17" s="522"/>
      <c r="Q17" s="522"/>
      <c r="R17" s="522"/>
      <c r="S17" s="522"/>
      <c r="T17" s="522"/>
      <c r="U17" s="522"/>
      <c r="V17" s="522"/>
      <c r="W17" s="522"/>
      <c r="X17" s="522"/>
      <c r="Y17" s="522"/>
      <c r="Z17" s="522"/>
      <c r="AA17" s="522"/>
      <c r="AB17" s="522"/>
      <c r="AC17" s="522"/>
    </row>
    <row r="18" spans="1:29" ht="15" hidden="1" customHeight="1" x14ac:dyDescent="0.3">
      <c r="A18" s="13"/>
      <c r="N18" s="17"/>
      <c r="O18" s="523"/>
      <c r="P18" s="522"/>
      <c r="Q18" s="522"/>
      <c r="R18" s="522"/>
      <c r="S18" s="522"/>
      <c r="T18" s="522"/>
      <c r="U18" s="522"/>
      <c r="V18" s="522"/>
      <c r="W18" s="522"/>
      <c r="X18" s="522"/>
      <c r="Y18" s="522"/>
      <c r="Z18" s="522"/>
      <c r="AA18" s="522"/>
      <c r="AB18" s="522"/>
      <c r="AC18" s="522"/>
    </row>
    <row r="19" spans="1:29" ht="15" thickBot="1" x14ac:dyDescent="0.35">
      <c r="A19" s="30"/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2"/>
      <c r="O19" s="523"/>
      <c r="P19" s="522"/>
      <c r="Q19" s="522"/>
      <c r="R19" s="522"/>
      <c r="S19" s="522"/>
      <c r="T19" s="522"/>
      <c r="U19" s="522"/>
      <c r="V19" s="522"/>
      <c r="W19" s="522"/>
      <c r="X19" s="522"/>
      <c r="Y19" s="522"/>
      <c r="Z19" s="522"/>
      <c r="AA19" s="522"/>
      <c r="AB19" s="522"/>
      <c r="AC19" s="522"/>
    </row>
  </sheetData>
  <sheetProtection algorithmName="SHA-512" hashValue="kTumCrbB5pjuNP9smxAm8ML+tqt2dFe4xpXdfqVSQfeSQoCiNuWXyYRpJryLngVejE8JMr3WMO7poFJqDxiJqA==" saltValue="rnGPHHP/XHDCp7/8i85Bmg==" spinCount="100000" sheet="1" objects="1" scenarios="1" selectLockedCells="1" selectUnlockedCells="1"/>
  <mergeCells count="7">
    <mergeCell ref="A1:N1"/>
    <mergeCell ref="O1:AC19"/>
    <mergeCell ref="K2:N2"/>
    <mergeCell ref="D5:N5"/>
    <mergeCell ref="D8:N8"/>
    <mergeCell ref="D13:N13"/>
    <mergeCell ref="A15:N15"/>
  </mergeCells>
  <hyperlinks>
    <hyperlink ref="O1" r:id="rId1" xr:uid="{0AC09CEA-EDD4-4872-B2C4-04A9E67AACBE}"/>
  </hyperlinks>
  <pageMargins left="0.7" right="0.7" top="0.75" bottom="0.75" header="0.3" footer="0.3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Présentation</vt:lpstr>
      <vt:lpstr>Etat Civil</vt:lpstr>
      <vt:lpstr>Situation Patrimoniale</vt:lpstr>
      <vt:lpstr>Prévision retraite</vt:lpstr>
      <vt:lpstr>Patrimoine social</vt:lpstr>
      <vt:lpstr>Principaux objectifs</vt:lpstr>
      <vt:lpstr>Les points forts</vt:lpstr>
      <vt:lpstr>Commentaires Suivi</vt:lpstr>
      <vt:lpstr>Calcul IR 2</vt:lpstr>
      <vt:lpstr>Impôt 2021 revenus 2020</vt:lpstr>
      <vt:lpstr>Calcul IR Bis Retraite</vt:lpstr>
      <vt:lpstr>Impôt Retraite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Nicolas Morel</dc:creator>
  <cp:keywords/>
  <dc:description/>
  <cp:lastModifiedBy>Ecaterina TROCIN</cp:lastModifiedBy>
  <cp:revision/>
  <dcterms:created xsi:type="dcterms:W3CDTF">2019-07-31T13:12:48Z</dcterms:created>
  <dcterms:modified xsi:type="dcterms:W3CDTF">2024-03-01T09:34:05Z</dcterms:modified>
  <cp:category/>
  <cp:contentStatus/>
</cp:coreProperties>
</file>